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zarifa\Downloads\"/>
    </mc:Choice>
  </mc:AlternateContent>
  <xr:revisionPtr revIDLastSave="0" documentId="8_{D266A5E5-58C7-4385-9D9B-70896EF58C66}" xr6:coauthVersionLast="47" xr6:coauthVersionMax="47" xr10:uidLastSave="{00000000-0000-0000-0000-000000000000}"/>
  <bookViews>
    <workbookView xWindow="-108" yWindow="-108" windowWidth="23256" windowHeight="12456" tabRatio="947" firstSheet="8" activeTab="16" xr2:uid="{00000000-000D-0000-FFFF-FFFF00000000}"/>
  </bookViews>
  <sheets>
    <sheet name="Cover" sheetId="1" r:id="rId1"/>
    <sheet name="Test Scope" sheetId="2" r:id="rId2"/>
    <sheet name="Test Scenarios" sheetId="3" r:id="rId3"/>
    <sheet name="Test Cases" sheetId="4" r:id="rId4"/>
    <sheet name="Automation Strategy" sheetId="5" r:id="rId5"/>
    <sheet name="RTM" sheetId="6" r:id="rId6"/>
    <sheet name="Summary" sheetId="7" r:id="rId7"/>
    <sheet name="Grooming Questions" sheetId="8" r:id="rId8"/>
    <sheet name="Assumptions &amp; Risks" sheetId="9" r:id="rId9"/>
    <sheet name="Bug Reports" sheetId="10" r:id="rId10"/>
    <sheet name="API_Test Plan" sheetId="11" r:id="rId11"/>
    <sheet name="API_Test Scenarios" sheetId="12" r:id="rId12"/>
    <sheet name="API_Test Cases" sheetId="13" r:id="rId13"/>
    <sheet name="API_Decision Table" sheetId="14" r:id="rId14"/>
    <sheet name="API_Coverage" sheetId="15" r:id="rId15"/>
    <sheet name="API_Traceability" sheetId="16" r:id="rId16"/>
    <sheet name="API_Grooming Questions" sheetId="17" r:id="rId17"/>
  </sheets>
  <definedNames>
    <definedName name="_xlnm._FilterDatabase" localSheetId="14" hidden="1">API_Coverage!$A$1:$J$1</definedName>
    <definedName name="_xlnm._FilterDatabase" localSheetId="16" hidden="1">'API_Grooming Questions'!$A$1:$G$1</definedName>
    <definedName name="_xlnm._FilterDatabase" localSheetId="12" hidden="1">'API_Test Cases'!$A$1:$S$169</definedName>
    <definedName name="_xlnm._FilterDatabase" localSheetId="11" hidden="1">'API_Test Scenarios'!$A$1:$E$1</definedName>
    <definedName name="_xlnm._FilterDatabase" localSheetId="15" hidden="1">API_Traceability!$A$1:$E$1</definedName>
    <definedName name="_xlnm._FilterDatabase" localSheetId="7" hidden="1">'Grooming Questions'!$A$1:$H$36</definedName>
    <definedName name="_xlnm._FilterDatabase" localSheetId="5" hidden="1">RTM!$A$1:$J$30</definedName>
    <definedName name="_xlnm._FilterDatabase" localSheetId="3" hidden="1">'Test Cases'!$A$1:$Q$229</definedName>
    <definedName name="_xlnm._FilterDatabase" localSheetId="2" hidden="1">'Test Scenarios'!$A$1:$F$30</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K13" i="15" l="1"/>
  <c r="I13" i="15"/>
  <c r="H13" i="15"/>
  <c r="G13" i="15"/>
  <c r="F13" i="15"/>
  <c r="E13" i="15"/>
  <c r="D13" i="15"/>
  <c r="J13" i="15" s="1"/>
  <c r="L13" i="15" s="1"/>
  <c r="K12" i="15"/>
  <c r="I12" i="15"/>
  <c r="H12" i="15"/>
  <c r="G12" i="15"/>
  <c r="F12" i="15"/>
  <c r="E12" i="15"/>
  <c r="D12" i="15"/>
  <c r="J12" i="15" s="1"/>
  <c r="L12" i="15" s="1"/>
  <c r="K11" i="15"/>
  <c r="I11" i="15"/>
  <c r="H11" i="15"/>
  <c r="G11" i="15"/>
  <c r="F11" i="15"/>
  <c r="E11" i="15"/>
  <c r="D11" i="15"/>
  <c r="J11" i="15" s="1"/>
  <c r="L11" i="15" s="1"/>
  <c r="K10" i="15"/>
  <c r="I10" i="15"/>
  <c r="H10" i="15"/>
  <c r="G10" i="15"/>
  <c r="F10" i="15"/>
  <c r="E10" i="15"/>
  <c r="D10" i="15"/>
  <c r="J10" i="15" s="1"/>
  <c r="L10" i="15" s="1"/>
  <c r="K9" i="15"/>
  <c r="I9" i="15"/>
  <c r="H9" i="15"/>
  <c r="G9" i="15"/>
  <c r="F9" i="15"/>
  <c r="E9" i="15"/>
  <c r="D9" i="15"/>
  <c r="J9" i="15" s="1"/>
  <c r="L9" i="15" s="1"/>
  <c r="K8" i="15"/>
  <c r="I8" i="15"/>
  <c r="H8" i="15"/>
  <c r="G8" i="15"/>
  <c r="F8" i="15"/>
  <c r="E8" i="15"/>
  <c r="D8" i="15"/>
  <c r="J8" i="15" s="1"/>
  <c r="L8" i="15" s="1"/>
  <c r="K7" i="15"/>
  <c r="I7" i="15"/>
  <c r="H7" i="15"/>
  <c r="G7" i="15"/>
  <c r="F7" i="15"/>
  <c r="E7" i="15"/>
  <c r="D7" i="15"/>
  <c r="J7" i="15" s="1"/>
  <c r="L7" i="15" s="1"/>
  <c r="K6" i="15"/>
  <c r="I6" i="15"/>
  <c r="H6" i="15"/>
  <c r="G6" i="15"/>
  <c r="F6" i="15"/>
  <c r="E6" i="15"/>
  <c r="D6" i="15"/>
  <c r="J6" i="15" s="1"/>
  <c r="L6" i="15" s="1"/>
  <c r="K5" i="15"/>
  <c r="I5" i="15"/>
  <c r="H5" i="15"/>
  <c r="G5" i="15"/>
  <c r="F5" i="15"/>
  <c r="E5" i="15"/>
  <c r="D5" i="15"/>
  <c r="J5" i="15" s="1"/>
  <c r="L5" i="15" s="1"/>
  <c r="K4" i="15"/>
  <c r="I4" i="15"/>
  <c r="H4" i="15"/>
  <c r="G4" i="15"/>
  <c r="F4" i="15"/>
  <c r="E4" i="15"/>
  <c r="D4" i="15"/>
  <c r="J4" i="15" s="1"/>
  <c r="L4" i="15" s="1"/>
  <c r="K3" i="15"/>
  <c r="I3" i="15"/>
  <c r="H3" i="15"/>
  <c r="G3" i="15"/>
  <c r="F3" i="15"/>
  <c r="E3" i="15"/>
  <c r="D3" i="15"/>
  <c r="J3" i="15" s="1"/>
  <c r="L3" i="15" s="1"/>
  <c r="K2" i="15"/>
  <c r="K14" i="15" s="1"/>
  <c r="I2" i="15"/>
  <c r="I14" i="15" s="1"/>
  <c r="H2" i="15"/>
  <c r="H14" i="15" s="1"/>
  <c r="G2" i="15"/>
  <c r="G14" i="15" s="1"/>
  <c r="F2" i="15"/>
  <c r="F14" i="15" s="1"/>
  <c r="E2" i="15"/>
  <c r="E14" i="15" s="1"/>
  <c r="D2" i="15"/>
  <c r="D14" i="15" s="1"/>
  <c r="F12" i="12"/>
  <c r="E12" i="12"/>
  <c r="F11" i="12"/>
  <c r="E11" i="12"/>
  <c r="F10" i="12"/>
  <c r="E10" i="12"/>
  <c r="F9" i="12"/>
  <c r="E9" i="12"/>
  <c r="F8" i="12"/>
  <c r="E8" i="12"/>
  <c r="F7" i="12"/>
  <c r="E7" i="12"/>
  <c r="F6" i="12"/>
  <c r="E6" i="12"/>
  <c r="F5" i="12"/>
  <c r="E5" i="12"/>
  <c r="F4" i="12"/>
  <c r="E4" i="12"/>
  <c r="E13" i="12" s="1"/>
  <c r="F3" i="12"/>
  <c r="E3" i="12"/>
  <c r="F2" i="12"/>
  <c r="F13" i="12" s="1"/>
  <c r="E2" i="12"/>
  <c r="B78" i="7"/>
  <c r="C78" i="7" s="1"/>
  <c r="B77" i="7"/>
  <c r="B76" i="7"/>
  <c r="B72" i="7"/>
  <c r="C72" i="7" s="1"/>
  <c r="B71" i="7"/>
  <c r="B70" i="7"/>
  <c r="B66" i="7"/>
  <c r="C66" i="7" s="1"/>
  <c r="B65" i="7"/>
  <c r="B64" i="7"/>
  <c r="B63" i="7"/>
  <c r="C63" i="7" s="1"/>
  <c r="B62" i="7"/>
  <c r="B61" i="7"/>
  <c r="B57" i="7"/>
  <c r="C57" i="7" s="1"/>
  <c r="B56" i="7"/>
  <c r="B55" i="7"/>
  <c r="B54" i="7"/>
  <c r="C54" i="7" s="1"/>
  <c r="B50" i="7"/>
  <c r="B49" i="7"/>
  <c r="B48" i="7"/>
  <c r="C76" i="7" s="1"/>
  <c r="B43" i="7"/>
  <c r="C43" i="7" s="1"/>
  <c r="B42" i="7"/>
  <c r="C42" i="7" s="1"/>
  <c r="B41" i="7"/>
  <c r="C41" i="7" s="1"/>
  <c r="B40" i="7"/>
  <c r="C40" i="7" s="1"/>
  <c r="C35" i="7"/>
  <c r="B35" i="7"/>
  <c r="C34" i="7"/>
  <c r="B34" i="7"/>
  <c r="B33" i="7"/>
  <c r="C33" i="7" s="1"/>
  <c r="C29" i="7"/>
  <c r="B29" i="7"/>
  <c r="C28" i="7"/>
  <c r="B28" i="7"/>
  <c r="B24" i="7"/>
  <c r="C24" i="7" s="1"/>
  <c r="C23" i="7"/>
  <c r="B23" i="7"/>
  <c r="C22" i="7"/>
  <c r="B22" i="7"/>
  <c r="B21" i="7"/>
  <c r="C21" i="7" s="1"/>
  <c r="C20" i="7"/>
  <c r="B20" i="7"/>
  <c r="C19" i="7"/>
  <c r="B19" i="7"/>
  <c r="B18" i="7"/>
  <c r="C18" i="7" s="1"/>
  <c r="C17" i="7"/>
  <c r="B17" i="7"/>
  <c r="C16" i="7"/>
  <c r="B16" i="7"/>
  <c r="B12" i="7"/>
  <c r="C12" i="7" s="1"/>
  <c r="C11" i="7"/>
  <c r="B11" i="7"/>
  <c r="C10" i="7"/>
  <c r="B10" i="7"/>
  <c r="B9" i="7"/>
  <c r="C9" i="7" s="1"/>
  <c r="B5" i="7"/>
  <c r="B4" i="7"/>
  <c r="J30" i="6"/>
  <c r="I30" i="6"/>
  <c r="H30" i="6"/>
  <c r="G30" i="6"/>
  <c r="F30" i="6"/>
  <c r="E30" i="6"/>
  <c r="J29" i="6"/>
  <c r="I29" i="6"/>
  <c r="H29" i="6"/>
  <c r="G29" i="6"/>
  <c r="F29" i="6"/>
  <c r="E29" i="6"/>
  <c r="J28" i="6"/>
  <c r="I28" i="6"/>
  <c r="H28" i="6"/>
  <c r="G28" i="6"/>
  <c r="F28" i="6"/>
  <c r="E28" i="6"/>
  <c r="J27" i="6"/>
  <c r="I27" i="6"/>
  <c r="H27" i="6"/>
  <c r="G27" i="6"/>
  <c r="F27" i="6"/>
  <c r="E27" i="6"/>
  <c r="J26" i="6"/>
  <c r="I26" i="6"/>
  <c r="H26" i="6"/>
  <c r="G26" i="6"/>
  <c r="F26" i="6"/>
  <c r="E26" i="6"/>
  <c r="J25" i="6"/>
  <c r="I25" i="6"/>
  <c r="H25" i="6"/>
  <c r="G25" i="6"/>
  <c r="F25" i="6"/>
  <c r="E25" i="6"/>
  <c r="J24" i="6"/>
  <c r="I24" i="6"/>
  <c r="H24" i="6"/>
  <c r="G24" i="6"/>
  <c r="F24" i="6"/>
  <c r="E24" i="6"/>
  <c r="J23" i="6"/>
  <c r="I23" i="6"/>
  <c r="H23" i="6"/>
  <c r="G23" i="6"/>
  <c r="F23" i="6"/>
  <c r="E23" i="6"/>
  <c r="J22" i="6"/>
  <c r="I22" i="6"/>
  <c r="H22" i="6"/>
  <c r="G22" i="6"/>
  <c r="F22" i="6"/>
  <c r="E22" i="6"/>
  <c r="J21" i="6"/>
  <c r="I21" i="6"/>
  <c r="H21" i="6"/>
  <c r="G21" i="6"/>
  <c r="F21" i="6"/>
  <c r="E21" i="6"/>
  <c r="J20" i="6"/>
  <c r="I20" i="6"/>
  <c r="H20" i="6"/>
  <c r="G20" i="6"/>
  <c r="F20" i="6"/>
  <c r="E20" i="6"/>
  <c r="J19" i="6"/>
  <c r="I19" i="6"/>
  <c r="H19" i="6"/>
  <c r="G19" i="6"/>
  <c r="F19" i="6"/>
  <c r="E19" i="6"/>
  <c r="J18" i="6"/>
  <c r="I18" i="6"/>
  <c r="H18" i="6"/>
  <c r="G18" i="6"/>
  <c r="F18" i="6"/>
  <c r="E18" i="6"/>
  <c r="J17" i="6"/>
  <c r="I17" i="6"/>
  <c r="H17" i="6"/>
  <c r="G17" i="6"/>
  <c r="F17" i="6"/>
  <c r="E17" i="6"/>
  <c r="J16" i="6"/>
  <c r="I16" i="6"/>
  <c r="H16" i="6"/>
  <c r="G16" i="6"/>
  <c r="F16" i="6"/>
  <c r="E16" i="6"/>
  <c r="J15" i="6"/>
  <c r="I15" i="6"/>
  <c r="H15" i="6"/>
  <c r="G15" i="6"/>
  <c r="F15" i="6"/>
  <c r="E15" i="6"/>
  <c r="J14" i="6"/>
  <c r="I14" i="6"/>
  <c r="H14" i="6"/>
  <c r="G14" i="6"/>
  <c r="F14" i="6"/>
  <c r="E14" i="6"/>
  <c r="J13" i="6"/>
  <c r="I13" i="6"/>
  <c r="H13" i="6"/>
  <c r="G13" i="6"/>
  <c r="F13" i="6"/>
  <c r="E13" i="6"/>
  <c r="J12" i="6"/>
  <c r="I12" i="6"/>
  <c r="H12" i="6"/>
  <c r="G12" i="6"/>
  <c r="F12" i="6"/>
  <c r="E12" i="6"/>
  <c r="J11" i="6"/>
  <c r="I11" i="6"/>
  <c r="H11" i="6"/>
  <c r="G11" i="6"/>
  <c r="F11" i="6"/>
  <c r="E11" i="6"/>
  <c r="J10" i="6"/>
  <c r="I10" i="6"/>
  <c r="H10" i="6"/>
  <c r="G10" i="6"/>
  <c r="F10" i="6"/>
  <c r="E10" i="6"/>
  <c r="J9" i="6"/>
  <c r="I9" i="6"/>
  <c r="H9" i="6"/>
  <c r="G9" i="6"/>
  <c r="F9" i="6"/>
  <c r="E9" i="6"/>
  <c r="J8" i="6"/>
  <c r="I8" i="6"/>
  <c r="H8" i="6"/>
  <c r="G8" i="6"/>
  <c r="F8" i="6"/>
  <c r="E8" i="6"/>
  <c r="J7" i="6"/>
  <c r="I7" i="6"/>
  <c r="H7" i="6"/>
  <c r="G7" i="6"/>
  <c r="F7" i="6"/>
  <c r="E7" i="6"/>
  <c r="J6" i="6"/>
  <c r="I6" i="6"/>
  <c r="H6" i="6"/>
  <c r="G6" i="6"/>
  <c r="F6" i="6"/>
  <c r="E6" i="6"/>
  <c r="J5" i="6"/>
  <c r="I5" i="6"/>
  <c r="H5" i="6"/>
  <c r="G5" i="6"/>
  <c r="F5" i="6"/>
  <c r="E5" i="6"/>
  <c r="J4" i="6"/>
  <c r="I4" i="6"/>
  <c r="H4" i="6"/>
  <c r="G4" i="6"/>
  <c r="F4" i="6"/>
  <c r="E4" i="6"/>
  <c r="J3" i="6"/>
  <c r="I3" i="6"/>
  <c r="H3" i="6"/>
  <c r="G3" i="6"/>
  <c r="F3" i="6"/>
  <c r="E3" i="6"/>
  <c r="J2" i="6"/>
  <c r="I2" i="6"/>
  <c r="H2" i="6"/>
  <c r="G2" i="6"/>
  <c r="F2" i="6"/>
  <c r="E2" i="6"/>
  <c r="F30" i="3"/>
  <c r="F29" i="3"/>
  <c r="F28" i="3"/>
  <c r="F27" i="3"/>
  <c r="F26" i="3"/>
  <c r="F25" i="3"/>
  <c r="F24" i="3"/>
  <c r="F23" i="3"/>
  <c r="F22" i="3"/>
  <c r="F21" i="3"/>
  <c r="F20" i="3"/>
  <c r="F19" i="3"/>
  <c r="F18" i="3"/>
  <c r="F17" i="3"/>
  <c r="F16" i="3"/>
  <c r="F15" i="3"/>
  <c r="F14" i="3"/>
  <c r="F13" i="3"/>
  <c r="F12" i="3"/>
  <c r="F11" i="3"/>
  <c r="F10" i="3"/>
  <c r="F9" i="3"/>
  <c r="F8" i="3"/>
  <c r="F7" i="3"/>
  <c r="F6" i="3"/>
  <c r="F5" i="3"/>
  <c r="F4" i="3"/>
  <c r="F3" i="3"/>
  <c r="F2" i="3"/>
  <c r="C56" i="7" l="1"/>
  <c r="C62" i="7"/>
  <c r="C65" i="7"/>
  <c r="C71" i="7"/>
  <c r="C77" i="7"/>
  <c r="B36" i="7"/>
  <c r="C55" i="7"/>
  <c r="C61" i="7"/>
  <c r="C64" i="7"/>
  <c r="C70" i="7"/>
  <c r="J2" i="15"/>
  <c r="L2" i="15" l="1"/>
  <c r="J14" i="15"/>
  <c r="L14" i="15" s="1"/>
</calcChain>
</file>

<file path=xl/sharedStrings.xml><?xml version="1.0" encoding="utf-8"?>
<sst xmlns="http://schemas.openxmlformats.org/spreadsheetml/2006/main" count="8889" uniqueCount="3559">
  <si>
    <t>Birmarket.az — Bitirmə Layihəsi: Test Sənədləri</t>
  </si>
  <si>
    <t>UI (Web) + API test ssenariləri, test case-lər, avtomatlaşdırma strategiyası</t>
  </si>
  <si>
    <t>Layihə</t>
  </si>
  <si>
    <t>Birmarket.az (Umico) — onlayn marketplace</t>
  </si>
  <si>
    <t>Test obyekti (URL)</t>
  </si>
  <si>
    <t>https://birmarket.az/ (Production, public)</t>
  </si>
  <si>
    <t>Hazırlayan</t>
  </si>
  <si>
    <t>Zərifə Babayeva</t>
  </si>
  <si>
    <t>Kurs / Qrup</t>
  </si>
  <si>
    <t>ABB Tech Academy — QA</t>
  </si>
  <si>
    <t>Versiya</t>
  </si>
  <si>
    <t>1.1</t>
  </si>
  <si>
    <t>Tarix</t>
  </si>
  <si>
    <t>13.10.2026</t>
  </si>
  <si>
    <t>Mühit</t>
  </si>
  <si>
    <t>Windows 11 / macOS, Google Chrome (son stabil versiya), 1920×1080; dil AZ; şəhər Bakı</t>
  </si>
  <si>
    <t>Test perspektivi</t>
  </si>
  <si>
    <t>Black Box (UI) + Grey Box (API)</t>
  </si>
  <si>
    <t>Tətbiq olunan texnikalar</t>
  </si>
  <si>
    <t>Equivalence Partitioning, Boundary Value Analysis, Decision Table, State Transition, Error Guessing</t>
  </si>
  <si>
    <t>Sheet-lər</t>
  </si>
  <si>
    <t>Test Scope</t>
  </si>
  <si>
    <t>Nə test olunur / nə test olunmur və səbəbləri</t>
  </si>
  <si>
    <t>Test Scenarios</t>
  </si>
  <si>
    <t>Yüksək səviyyəli ssenarilər — Guest və Login versiyaları ayrıca</t>
  </si>
  <si>
    <t>Test Cases</t>
  </si>
  <si>
    <t>UI test case-lər (strukturlu, manual/avtomat əsaslandırması ilə)</t>
  </si>
  <si>
    <t>Automation Strategy</t>
  </si>
  <si>
    <t>Manual vs avtomat seçim kriteriyaları və anti-flaky qaydalar</t>
  </si>
  <si>
    <t>RTM</t>
  </si>
  <si>
    <t>Ssenari → test case → avtomatlaşdırma izlənməsi (formula ilə)</t>
  </si>
  <si>
    <t>Summary</t>
  </si>
  <si>
    <t>Ümumi göstəricilər (formula ilə avtomatik hesablanır)</t>
  </si>
  <si>
    <t>Grooming Questions</t>
  </si>
  <si>
    <t>Tələblərdə qeyri-müəyyən məqamlar üzrə suallar və qəbul edilmiş fərziyyələr</t>
  </si>
  <si>
    <t>Assumptions &amp; Risks</t>
  </si>
  <si>
    <t>Fərziyyələr, risklər və onların idarə olunması</t>
  </si>
  <si>
    <t>Bug Reports</t>
  </si>
  <si>
    <t>İcra zamanı tapılan defektlər</t>
  </si>
  <si>
    <t>API_* sheet-lər</t>
  </si>
  <si>
    <t>API (api.anarabbas.com, Final Project backlog): Test Plan, Scenarios, 168 Test Case, Decision Table, Coverage, Traceability, Grooming Questions</t>
  </si>
  <si>
    <t>Doldurma qaydası (Legend)</t>
  </si>
  <si>
    <t>Status</t>
  </si>
  <si>
    <t>Not Run / Pass / Fail / Blocked — icradan sonra Test Cases sheet-ində seçilir (dropdown)</t>
  </si>
  <si>
    <t>Automation</t>
  </si>
  <si>
    <t>Automated — avtomatlaşdırılıb / Manual — manual icra olunur</t>
  </si>
  <si>
    <t>Regression</t>
  </si>
  <si>
    <t>Yes — avtomat regression / Yes (Manual) — manual regression / No — regression-a daxil deyil</t>
  </si>
  <si>
    <t>Priority</t>
  </si>
  <si>
    <t>P1 - Critical / P2 - High / P3 - Medium / P4 - Low</t>
  </si>
  <si>
    <t>Actual Result / Execution Date / İcra növü</t>
  </si>
  <si>
    <t>Test Cases sheet-inin sonundakı sütunlar: faktiki nəticə, icra tarixi və icra üsulu (Avtomat / Manual)</t>
  </si>
  <si>
    <t>Test obyekti: https://birmarket.az/ (Production). Real sifariş və ödəniş YARADILMIR.</t>
  </si>
  <si>
    <t>IN SCOPE</t>
  </si>
  <si>
    <t>Modul / Funksionallıq</t>
  </si>
  <si>
    <t>Səviyyə</t>
  </si>
  <si>
    <t>Səbəb</t>
  </si>
  <si>
    <t>Ssenari</t>
  </si>
  <si>
    <t>Ana səhifə və header</t>
  </si>
  <si>
    <t>UI</t>
  </si>
  <si>
    <t>Hər istifadəçinin giriş nöqtəsi; smoke üçün əsas</t>
  </si>
  <si>
    <t>TS_UI_01</t>
  </si>
  <si>
    <t>Dil seçimi (AZ/RU)</t>
  </si>
  <si>
    <t>İki dilli auditoriya, URL strukturuna təsir edir</t>
  </si>
  <si>
    <t>TS_UI_02</t>
  </si>
  <si>
    <t>Şəhər seçimi</t>
  </si>
  <si>
    <t>Çatdırılma şərtlərini müəyyən edir</t>
  </si>
  <si>
    <t>TS_UI_03</t>
  </si>
  <si>
    <t>Axtarış</t>
  </si>
  <si>
    <t>Satışın əsas giriş kanalı</t>
  </si>
  <si>
    <t>TS_UI_04</t>
  </si>
  <si>
    <t>Kataloq və kateqoriyalar</t>
  </si>
  <si>
    <t>Naviqasiyanın əsas yolu</t>
  </si>
  <si>
    <t>TS_UI_05</t>
  </si>
  <si>
    <t>Məhsul siyahısı (sıralama, filtr, pagination)</t>
  </si>
  <si>
    <t>Məhsulun tapılmasına birbaşa təsir edir</t>
  </si>
  <si>
    <t>TS_UI_06</t>
  </si>
  <si>
    <t>Məhsul detal səhifəsi (PDP)</t>
  </si>
  <si>
    <t>Alış qərarının verildiyi səhifə</t>
  </si>
  <si>
    <t>TS_UI_07</t>
  </si>
  <si>
    <t>Səbət (Guest və Login)</t>
  </si>
  <si>
    <t>Pul hesablaması — ən yüksək biznes riski</t>
  </si>
  <si>
    <t>TS_UI_08, TS_UI_12</t>
  </si>
  <si>
    <t>Seçilmişlər</t>
  </si>
  <si>
    <t>Guest vs Login davranış fərqi</t>
  </si>
  <si>
    <t>TS_UI_09</t>
  </si>
  <si>
    <t>Giriş/Qeydiyyat (telefon + SMS OTP)</t>
  </si>
  <si>
    <t>Login axını bütün şəxsi funksiyaların açarıdır</t>
  </si>
  <si>
    <t>TS_UI_10, TS_UI_11</t>
  </si>
  <si>
    <t>Checkout-a keçid (sifariş TƏSDİQLƏNMƏDƏN)</t>
  </si>
  <si>
    <t>Satış hunisinin son mərhələsi</t>
  </si>
  <si>
    <t>TS_UI_13</t>
  </si>
  <si>
    <t>Footer məlumat səhifələri</t>
  </si>
  <si>
    <t>Hüquqi və məlumat səhifələrinə çıxış</t>
  </si>
  <si>
    <t>TS_UI_24</t>
  </si>
  <si>
    <t>Şəxsi hesab: profil, ünvanlar, rəylər, promokodlar, kredit, mesaj</t>
  </si>
  <si>
    <t>Şəxsi data və çatdırılma ünvanı — sifarişə birbaşa təsir edir</t>
  </si>
  <si>
    <t>TS_UI_20, TS_UI_27, TS_UI_28</t>
  </si>
  <si>
    <t>Bir Bonus: ID kart və əməliyyat tarixçəsi</t>
  </si>
  <si>
    <t>Pul ekvivalenti olan bonusların düzgün hesablanması</t>
  </si>
  <si>
    <t>TS_UI_29</t>
  </si>
  <si>
    <t>Giriş nəzarəti (Access control)</t>
  </si>
  <si>
    <t>Şəxsi səhifələrin login olmadan qorunması</t>
  </si>
  <si>
    <t>TS_UI_25</t>
  </si>
  <si>
    <t>Responsive və cross-browser</t>
  </si>
  <si>
    <t>UI (Non-functional)</t>
  </si>
  <si>
    <t>Trafikin böyük hissəsi mobil cihazlardandır</t>
  </si>
  <si>
    <t>TS_UI_15</t>
  </si>
  <si>
    <t>Backend API-lər</t>
  </si>
  <si>
    <t>API</t>
  </si>
  <si>
    <t>Kurs tərəfindən təqdim olunan API-lər (API_* sheet-lər)</t>
  </si>
  <si>
    <t>API_TS_*</t>
  </si>
  <si>
    <t>OUT OF SCOPE</t>
  </si>
  <si>
    <t>Real sifarişin təsdiqlənməsi və onlayn ödəniş</t>
  </si>
  <si>
    <t>Production mühitidir — real sifariş/ödəniş satıcıya və şirkətə zərər verir, real pul tələb edir</t>
  </si>
  <si>
    <t>Kredit və taksit müraciəti (Birbank)</t>
  </si>
  <si>
    <t>Real şəxsi və maliyyə məlumatları tələb edir, kredit tarixçəsinə təsir edir</t>
  </si>
  <si>
    <t>Bir Bonus xərcləmə və promokodun sifarişə tətbiqi</t>
  </si>
  <si>
    <t>Real bonus balansı, aktiv promokod və real sifariş tələb edir (bonus/promokod səhifələrinə baxış in scope-dadır)</t>
  </si>
  <si>
    <t>Məhsul rəyi yazmaq</t>
  </si>
  <si>
    <t>Production-da real kontent yaradır (data pollution), yalnız alınmış məhsula icazə verilir</t>
  </si>
  <si>
    <t>Satıcı portalı (business.umico.az)</t>
  </si>
  <si>
    <t>Ayrı sistemdir, korporativ hesab tələb edir</t>
  </si>
  <si>
    <t>Mobil tətbiqlər (iOS / Android)</t>
  </si>
  <si>
    <t>Layihə tələbi: yalnız web</t>
  </si>
  <si>
    <t>Performance / Load testing</t>
  </si>
  <si>
    <t>Production-a yük vermək qadağandır və etik deyil</t>
  </si>
  <si>
    <t>Security / Penetration testing</t>
  </si>
  <si>
    <t>İcazə tələb edir; yalnız əsas XSS sanity yoxlaması daxildir</t>
  </si>
  <si>
    <t>Üçüncü tərəf səhifələrinin məzmunu (sosial şəbəkələr, bir.az)</t>
  </si>
  <si>
    <t>Birmarket-in məsuliyyət sahəsi deyil</t>
  </si>
  <si>
    <t>ENTRY / EXIT KRİTERİYALARI</t>
  </si>
  <si>
    <t>Entry</t>
  </si>
  <si>
    <t>Sayt əlçatandır (HTTP 200), test hesabı və telefon hazırdır, test case-lər review olunub</t>
  </si>
  <si>
    <t>Exit</t>
  </si>
  <si>
    <t>Bütün P1 test case-lər icra olunub; P1/P2 açıq bug yoxdur; avtomatlaşdırılmış regression ardıcıl 3 run-da 100% stabil keçir</t>
  </si>
  <si>
    <t>Scenario ID</t>
  </si>
  <si>
    <t>İstifadəçi növü</t>
  </si>
  <si>
    <t>Təsvir (nəyi test edirik?)</t>
  </si>
  <si>
    <t>TC sayı</t>
  </si>
  <si>
    <t>Guest</t>
  </si>
  <si>
    <t>Header elementləri, üst linklər, logo, sol kateqoriya paneli, banner karuseli, üstünlüklər zolağı, chat</t>
  </si>
  <si>
    <t>P1 - Critical</t>
  </si>
  <si>
    <t>Login</t>
  </si>
  <si>
    <t>Login vəziyyətinin header-də əks olunması, profil menyusu</t>
  </si>
  <si>
    <t>Dil seçimi (AZ / RU)</t>
  </si>
  <si>
    <t>Dil dəyişmə, URL strukturu, naviqasiyada saxlanma, RU axtarış</t>
  </si>
  <si>
    <t>P2 - High</t>
  </si>
  <si>
    <t>Dil dəyişdikdə sessiyanın saxlanması, kabinetin tərcüməsi</t>
  </si>
  <si>
    <t>Şəhər seçimi, saxlanması və çatdırılma məlumatına təsiri</t>
  </si>
  <si>
    <t>Şəhərin hesabda saxlanması və checkout-a ötürülməsi</t>
  </si>
  <si>
    <t>Məhsul axtarışı</t>
  </si>
  <si>
    <t>Açar söz, tam ad, Enter, case-insensitive, nəticəsiz/boş/uzun/xüsusi sorğu, autocomplete</t>
  </si>
  <si>
    <t>TS_UI_08</t>
  </si>
  <si>
    <t>Login istifadəçi üçün nəticələrin guest ilə uyğunluğu</t>
  </si>
  <si>
    <t>P3 - Medium</t>
  </si>
  <si>
    <t>Kataloq və kateqoriya naviqasiyası</t>
  </si>
  <si>
    <t>Kateqoriya menyusu, kateqoriya/alt kateqoriya səhifəsi, breadcrumb, 404</t>
  </si>
  <si>
    <t>TS_UI_10</t>
  </si>
  <si>
    <t>Məhsul siyahısı: sıralama, filtr, səhifələmə</t>
  </si>
  <si>
    <t>6 sıralama seçimi, qiymət/brend/endirimli/xüsusiyyət filtrləri (EP/BVA/Decision Table), sıfırlama, pagination</t>
  </si>
  <si>
    <t>TS_UI_11</t>
  </si>
  <si>
    <t>Kart↔PDP uyğunluğu, elementlər, variantlar, stok, satıcı, taksit, rəy, 404</t>
  </si>
  <si>
    <t>TS_UI_12</t>
  </si>
  <si>
    <t>PDP-dən seçilmişlərə əlavə, rəy yazma hüququ</t>
  </si>
  <si>
    <t>Səbət</t>
  </si>
  <si>
    <t>Əlavə etmə, miqdar (BVA), silmə, məbləğ hesablaması, persistence, satıcı qrupları</t>
  </si>
  <si>
    <t>TS_UI_14</t>
  </si>
  <si>
    <t>Guest səbətinin birləşməsi, server-side saxlanma, logout davranışı, cihazlar arası sinxron</t>
  </si>
  <si>
    <t>Guest-in seçilmişlərə çıxışının məhdudlaşdırılması</t>
  </si>
  <si>
    <t>TS_UI_16</t>
  </si>
  <si>
    <t>Əlavə etmə, silmə, saxlanma, səbətə köçürmə, boş vəziyyət</t>
  </si>
  <si>
    <t>TS_UI_17</t>
  </si>
  <si>
    <t>Giriş — telefon nömrəsi validasiyası</t>
  </si>
  <si>
    <t>Giriş ekranı, telefon sahəsi üçün EP/BVA, paste, yerli format, BirID</t>
  </si>
  <si>
    <t>TS_UI_18</t>
  </si>
  <si>
    <t>Giriş — OTP təsdiqi və sessiya</t>
  </si>
  <si>
    <t>Guest → Login</t>
  </si>
  <si>
    <t>OTP göndərilməsi, düzgün/yanlış/köhnə kod, limit, yenidən göndərmə, sessiya, logout</t>
  </si>
  <si>
    <t>TS_UI_19</t>
  </si>
  <si>
    <t>Qeydiyyat — yeni istifadəçi</t>
  </si>
  <si>
    <t>Yeni nömrə ilə qeydiyyat, ad validasiyası (EP/BVA)</t>
  </si>
  <si>
    <t>TS_UI_20</t>
  </si>
  <si>
    <t>Şəxsi hesab — profil və bildirişlər</t>
  </si>
  <si>
    <t>Əlaqə nömrəsi, ad/soyad, FİN kod (BVA), doğum tarixi (təqvim, BVA), e-poçt, cins, profil şəkli, bildirişlər</t>
  </si>
  <si>
    <t>TS_UI_21</t>
  </si>
  <si>
    <t>Mənim sifarişlərim</t>
  </si>
  <si>
    <t>Sifariş siyahısı, boş vəziyyət, sifariş detalı, problem bildirmə</t>
  </si>
  <si>
    <t>TS_UI_22</t>
  </si>
  <si>
    <t>Checkout</t>
  </si>
  <si>
    <t>Guest-in login-ə yönləndirilməsi və checkout-a birbaşa girişin bloklanması</t>
  </si>
  <si>
    <t>TS_UI_23</t>
  </si>
  <si>
    <t>Çatdırılma/ödəniş üsulları, ünvan validasiyası, pulsuz çatdırılma həddi (BVA), məbləğ. Sifariş təsdiqlənmir</t>
  </si>
  <si>
    <t>Footer və məlumat səhifələri</t>
  </si>
  <si>
    <t>Footer linklərinin düzgün səhifələri açması</t>
  </si>
  <si>
    <t>Guest + Login→Logout</t>
  </si>
  <si>
    <t>Bütün /account/* səhifələrinə login olmadan və logout sonrası birbaşa giriş</t>
  </si>
  <si>
    <t>TS_UI_26</t>
  </si>
  <si>
    <t>Mobil görünüş və fərqli brauzerlərdə əsas axın</t>
  </si>
  <si>
    <t>TS_UI_27</t>
  </si>
  <si>
    <t>Mənim ünvanlarım</t>
  </si>
  <si>
    <t>Ünvan əlavə etmə, məcburi sahələr (Decision Table), ünvan validasiyası, çatdırılma ərazisi, xəritə, əsas ünvan, silmə</t>
  </si>
  <si>
    <t>TS_UI_28</t>
  </si>
  <si>
    <t>Şəxsi hesab bölmələri: promokodlar, rəylər, kredit, mesaj</t>
  </si>
  <si>
    <t>Boş vəziyyətlər, rəy tabları arası keçid, kabinet menyusu naviqasiyası</t>
  </si>
  <si>
    <t>Balans, bonus hesablaması, son əməliyyatlar, tarixçə filtrləri (tərəfdaş, dövr BVA, bonus növü)</t>
  </si>
  <si>
    <t>Test Case ID</t>
  </si>
  <si>
    <t>Test Case Title</t>
  </si>
  <si>
    <t>Module / Feature</t>
  </si>
  <si>
    <t>Test Type</t>
  </si>
  <si>
    <t>Preconditions</t>
  </si>
  <si>
    <t>Test Steps</t>
  </si>
  <si>
    <t>Test Data</t>
  </si>
  <si>
    <t>Expected Result</t>
  </si>
  <si>
    <t>Manual/Automation əsaslandırma</t>
  </si>
  <si>
    <t>Actual Result</t>
  </si>
  <si>
    <t>Execution Date</t>
  </si>
  <si>
    <t>İcra növü</t>
  </si>
  <si>
    <t>TC_HOME_POS_001</t>
  </si>
  <si>
    <t>Guest ana səhifəni açdıqda əsas header elementləri göstərilir</t>
  </si>
  <si>
    <t>Ana səhifə → Header</t>
  </si>
  <si>
    <t>Pozitiv, Smoke</t>
  </si>
  <si>
    <t>1. Brauzer: Google Chrome (son stabil versiya), incognito rejim (cookies/cache təmizdir)
2. İstifadəçi login olmayıb (Guest)
3. Dil: AZ, Şəhər: Bakı (default)</t>
  </si>
  <si>
    <t>1. Brauzerdə ana səhifə URL-ni aç
2. Səhifənin tam yüklənməsini gözlə
3. Səhifə başlığını (title) yoxla
4. Header elementlərini müşahidə et</t>
  </si>
  <si>
    <t>URL: https://birmarket.az/</t>
  </si>
  <si>
    <t>1. Səhifə title-ı "BIRMARKET" sözünü ehtiva edir
2. Üst zolaqda görünür: "Çatdırılma və ödəmə", "Qaytarılma", "Zəmanət", "Birmarket-də satın", "915", dil seçicisi "AZ", "Qeydiyyat | Giriş"
3. Əsas header-də görünür: logo, "Şəhər: Bakı", "Məhsul kataloqu", "Məhsul axtar" placeholder-li axtarış sahəsi, "Axtar", "Seçilmişlər", "Səbət"
4. Xəta səhifəsi (404/500) göstərilmir</t>
  </si>
  <si>
    <t>Smoke testdir — hər deploy-dan sonra ilk yoxlanılan; locator-lar stabil, nəticə dinamik data-dan asılı deyil → avtomatlaşdırılır.</t>
  </si>
  <si>
    <t>Pass</t>
  </si>
  <si>
    <t>Automated</t>
  </si>
  <si>
    <t>Yes</t>
  </si>
  <si>
    <t>Gözlənilən nəticə ilə üst-üstə düşür. Gauge avtomat run (Chrome 154, guest): PASS.</t>
  </si>
  <si>
    <t>06.10.2026</t>
  </si>
  <si>
    <t>Avtomat (Gauge + Selenium)</t>
  </si>
  <si>
    <t>TC_HOME_POS_002</t>
  </si>
  <si>
    <t>Daxili səhifədən logoya klik istifadəçini ana səhifəyə qaytarır</t>
  </si>
  <si>
    <t>Ana səhifə → Logo naviqasiyası</t>
  </si>
  <si>
    <t>Pozitiv</t>
  </si>
  <si>
    <t>1. Brauzer: Google Chrome (son stabil versiya), incognito rejim (cookies/cache təmizdir)
2. İstifadəçi login olmayıb (Guest)
3. Dil: AZ, Şəhər: Bakı (default)
4. Kateqoriya səhifəsi açıqdır: https://birmarket.az/categories/2-telefonlar-ve-aksessuarlar</t>
  </si>
  <si>
    <t>1. Header-dəki Birmarket logosuna klik et
2. Açılan səhifənin URL-ni yoxla</t>
  </si>
  <si>
    <t>Başlanğıc URL: https://birmarket.az/categories/2-telefonlar-ve-aksessuarlar</t>
  </si>
  <si>
    <t>1. URL https://birmarket.az/ olur
2. Ana səhifənin banner bölməsi görünür</t>
  </si>
  <si>
    <t>Naviqasiyanın əsas elementi, deterministik nəticə (URL yoxlaması) → avtomatlaşdırılır.</t>
  </si>
  <si>
    <t>TC_HOME_POS_006</t>
  </si>
  <si>
    <t>Header-in üst linkləri ("Çatdırılma və ödəmə", "Qaytarılma", "Zəmanət") müvafiq məlumat səhifələrini açır</t>
  </si>
  <si>
    <t>Ana səhifə → Üst məlumat linkləri</t>
  </si>
  <si>
    <t>1. Brauzer: Google Chrome (son stabil versiya), incognito rejim (cookies/cache təmizdir)
2. İstifadəçi login olmayıb (Guest)
3. Dil: AZ, Şəhər: Bakı (default)
4. Ana səhifə açıqdır: https://birmarket.az/</t>
  </si>
  <si>
    <t>1. "Çatdırılma və ödəmə" linkinə klik et, URL-i yoxla
2. Geri qayıt, "Qaytarılma" linkinə klik et, URL-i yoxla
3. Geri qayıt, "Zəmanət" linkinə klik et, URL-i yoxla</t>
  </si>
  <si>
    <t>Gözlənilən URL-lər: /shipping-payment, /questions-answers?target=cancel-refund, /questions-answers?target=warranty</t>
  </si>
  <si>
    <t>Hər link gözlənilən URL-i açır və səhifədə müvafiq başlıq/məzmun göstərilir</t>
  </si>
  <si>
    <t>Aşağı riskli, nadir dəyişən funksionallıq; regression ROI aşağıdır → manual.</t>
  </si>
  <si>
    <t>Not Run</t>
  </si>
  <si>
    <t>Manual</t>
  </si>
  <si>
    <t>No</t>
  </si>
  <si>
    <t>TC_HOME_POS_009</t>
  </si>
  <si>
    <t>Ana səhifədə ikən logoya klik səhifəni yeniləyir və istifadəçini səhifənin yuxarısına qaytarır</t>
  </si>
  <si>
    <t>Ana səhifə → Logo (ana səhifədə)</t>
  </si>
  <si>
    <t>P4 - Low</t>
  </si>
  <si>
    <t>1. Səhifəni aşağıya scroll et
2. Header-dəki Birmarket logosuna klik et
3. URL-i və səhifənin mövqeyini yoxla</t>
  </si>
  <si>
    <t>—</t>
  </si>
  <si>
    <t>1. URL https://birmarket.az/ qalır
2. Səhifə yenidən yüklənir və ən yuxarı hissə (banner) göstərilir
3. Xəta yoxdur</t>
  </si>
  <si>
    <t>Vizual/scroll mövqeyi yoxlamasıdır, biznes riski aşağıdır → manual.</t>
  </si>
  <si>
    <t>TC_HOME_POS_010</t>
  </si>
  <si>
    <t>"Bütün kateqoriyalar" sol paneldəki siyahını yerində genişləndirir</t>
  </si>
  <si>
    <t>Ana səhifə → Sol kateqoriya paneli</t>
  </si>
  <si>
    <t>1. Sol paneldəki görünən kateqoriyaları oxu
2. "Bütün kateqoriyalar"-a klik et
3. URL-i və paneli yoxla
4. Paneli aşağı scroll et</t>
  </si>
  <si>
    <t>1. URL dəyişmir (ayrı səhifəyə keçid olmur)
2. Panel yerində genişlənir, səhifənin qalan hissəsi tündləşir (overlay)
3. Panel scroll olunur və əvvəl görünməyən kateqoriyalar ("Məişət kimyası", "İdman və Əyləncə" və s.) göstərilir</t>
  </si>
  <si>
    <t>Davranış təsdiqlənib; login tələb etmir, deterministikdir → avtomatlaşdırılır. | Avtomatlaşdırma cəhdindən sonra Manual-a keçirildi: Kataloq paneli overlay/hover ilə açılır, stabil locator yoxdur.</t>
  </si>
  <si>
    <t>Yes (Manual)</t>
  </si>
  <si>
    <t>Siyahı yerində genişlənir, URL dəyişmir, overlay açılır (GQ_UI_25). PASS.</t>
  </si>
  <si>
    <t>Manual (saytda yoxlanılıb)</t>
  </si>
  <si>
    <t>TC_HOME_POS_011</t>
  </si>
  <si>
    <t>Sol paneldə kateqoriyaya klik müvafiq kateqoriya səhifəsini açır</t>
  </si>
  <si>
    <t>1. Sol paneldə "Məişət texnikası"-na klik et
2. URL-i və H1-i yoxla</t>
  </si>
  <si>
    <t>Kateqoriya: Məişət texnikası</t>
  </si>
  <si>
    <t>1. URL "/categories/106-meishet-texnikasi" ehtiva edir
2. H1 = "Məişət texnikası"
3. Ən azı 1 məhsul kartı göstərilir</t>
  </si>
  <si>
    <t>Regression-a daxildir, hər release-də təkrarlanır; nəticə data-dan asılı olmayan invariantla yoxlanır (hardcode qiymət/ad yoxdur); xarici asılılıq yoxdur → avtomatlaşdırılır. | Avtomatlaşdırma cəhdindən sonra Manual-a keçirildi: Kataloq paneli overlay/hover ilə açılır, stabil locator yoxdur.</t>
  </si>
  <si>
    <t>TC_HOME_POS_012</t>
  </si>
  <si>
    <t>Sol paneldəki "Mega endirimlər" linki endirimlər səhifəsini açır</t>
  </si>
  <si>
    <t>Ana səhifə → Kampaniya linkləri</t>
  </si>
  <si>
    <t>1. Sol paneldə "Mega endirimlər"-ə klik et
2. URL-i və məhsulları yoxla</t>
  </si>
  <si>
    <t>1. URL "/mega-discounts" ehtiva edir
2. Göstərilən məhsul kartlarında endirim nişanı var</t>
  </si>
  <si>
    <t>Kampaniya məzmunu marketinq tərəfindən tez-tez dəyişir → manual.</t>
  </si>
  <si>
    <t>TC_HOME_POS_013</t>
  </si>
  <si>
    <t>Üstünlüklər zolağında 4 məlumat bloku göstərilir və pulsuz çatdırılma həddi 50 ₼-dir</t>
  </si>
  <si>
    <t>Ana səhifə → Üstünlüklər zolağı</t>
  </si>
  <si>
    <t>1. Bannerin altındakı zolağı oxu</t>
  </si>
  <si>
    <t>Bloklar: "500 000-dən çox məhsul", "50 ₼-dən başlayan sifarişlərə pulsuz çatdırılma", "Endirimlər və aksiyalar", "Birbank ilə 24 ayadək taksit" (checkout-dakı çatdırılma həddi ilə uyğun olmalıdır — TC_CHK_BVA_003/004)</t>
  </si>
  <si>
    <t>Marketinq mətni dəyişə bilər; dəyər checkout BVA testləri ilə çarpaz yoxlanılır → manual.</t>
  </si>
  <si>
    <t>TC_HOME_POS_014</t>
  </si>
  <si>
    <t>"Birmarket-də satın" linki satıcı portalının (Business By Birmarket) ana səhifəsini açır</t>
  </si>
  <si>
    <t>Ana səhifə → Satıcı linki</t>
  </si>
  <si>
    <t>1. Üst zolaqda "Birmarket-də satın"-a klik et
2. Açılan səhifəni yoxla</t>
  </si>
  <si>
    <t>1. URL "https://business.umico.az" ilə başlayır
2. "Business By Birmarket" loqosu və "Onlayn mağazanızı yaradın və Bakıdan bütün Azərbaycana satış edin" başlığı göstərilir
3. "Satıcı olmaq", "Daxil ol", "Qeydiyyat" düymələri görünür</t>
  </si>
  <si>
    <t>Xarici/ayrı sistemə keçid (satıcı portalı scope-dan kənardır), yalnız keçid yoxlanılır → manual.</t>
  </si>
  <si>
    <t>"Birmarket-də satın" → business.umico.az açılır (GQ_UI_26). PASS.</t>
  </si>
  <si>
    <t>TC_HOME_POS_015</t>
  </si>
  <si>
    <t>"915" seçicisi çağrı mərkəzinin iş saatlarını göstərir, nömrəyə klik zəng tətbiqini çağırır</t>
  </si>
  <si>
    <t>Ana səhifə → Qaynar xətt</t>
  </si>
  <si>
    <t>1. Üst zolaqda "915" yanındakı oxa klik et
2. Açılan bloku oxu
3. "915" nömrəsinə klik et</t>
  </si>
  <si>
    <t>1. Blokda "Çağrı mərkəzinin iş saatları" — "Hər gün: 09:00 – 00:00" göstərilir
2. Nömrəyə klik brauzerin zəng tətbiqini açma dialoqunu çağırır (tel: link)</t>
  </si>
  <si>
    <t>"915" blokunda "Hər gün: 09:00 – 00:00" göstərilir, nömrə tel: linkdir (GQ_UI_26). PASS.</t>
  </si>
  <si>
    <t>TC_HOME_POS_016</t>
  </si>
  <si>
    <t>Canlı dəstək (chat) düyməsi söhbət pəncərəsini açır</t>
  </si>
  <si>
    <t>Ana səhifə → Chat widget</t>
  </si>
  <si>
    <t>1. Sağ aşağı küncdəki chat düyməsinə klik et
2. Açılan pəncərəni müşahidə et
3. Pəncərəni bağla</t>
  </si>
  <si>
    <t>1. Söhbət pəncərəsi açılır
2. Bağlandıqdan sonra düymə yenidən görünür
(Mesaj GÖNDƏRİLMİR — real operator yükü yaratmamaq üçün)</t>
  </si>
  <si>
    <t>Üçüncü tərəf widget-i, iframe və async yükləmə → avtomatlaşdırma qeyri-stabil; real dəstək xidmətinə təsir riski → manual.</t>
  </si>
  <si>
    <t>TC_HOME_POS_017</t>
  </si>
  <si>
    <t>"Günün endirimi" blokundakı kampaniya taymeri geri sayır</t>
  </si>
  <si>
    <t>Ana səhifə → Günün endirimi</t>
  </si>
  <si>
    <t>1. "Günün endirimi" bölməsinə scroll et
2. "Kampaniyanın bitmə müddəti" dəyərini oxu
3. 5 saniyə gözlə və dəyəri yenidən oxu</t>
  </si>
  <si>
    <t>1. Taymer SS:DD:SS formatındadır
2. 5 saniyə sonra dəyər ~5 saniyə azalır
3. Blokda endirimli məhsul kartları göstərilir</t>
  </si>
  <si>
    <t>Kampaniya hər gün aktiv olmaya bilər və vaxta bağlıdır → avtomatlaşdırma flaky olar → manual.</t>
  </si>
  <si>
    <t>TC_HOME_POS_018</t>
  </si>
  <si>
    <t>Brauzer bildirişləri təklifində "Ləğv et" seçildikdə təklif bağlanır və dərhal təkrar göstərilmir</t>
  </si>
  <si>
    <t>Ana səhifə → Bildiriş icazəsi təklifi</t>
  </si>
  <si>
    <t>Pozitiv, State Transition</t>
  </si>
  <si>
    <t>1. Brauzer: Google Chrome (son stabil versiya), incognito rejim (cookies/cache təmizdir)
2. İstifadəçi login olmayıb (Guest)
3. Dil: AZ, Şəhər: Bakı (default)
4. "Brauzerinizdə bildirişlər almaq istəyirsinizmi?" təklifi göstərilir</t>
  </si>
  <si>
    <t>1. Təklifdə "Ləğv et"-ə klik et
2. Səhifəni yenilə (F5)
3. Başqa səhifəyə keç</t>
  </si>
  <si>
    <t>1. Təklif bağlanır
2. Yeniləmədən və naviqasiyadan sonra təklif təkrar göstərilmir (təkrar göstərilmə müddəti — GQ_UI_35)</t>
  </si>
  <si>
    <t>Brauzer icazə vəziyyəti və cookie-dən asılıdır; native dialoqla əlaqə avtomatlaşdırmada idarə olunmur → manual.</t>
  </si>
  <si>
    <t>TC_HOME_POS_019</t>
  </si>
  <si>
    <t>Bildiriş təklifində "İcazə ver" brauzerin öz icazə dialoqunu çağırır</t>
  </si>
  <si>
    <t>1. Brauzer: Google Chrome (son stabil versiya), incognito rejim (cookies/cache təmizdir)
2. İstifadəçi login olmayıb (Guest)
3. Dil: AZ, Şəhər: Bakı (default)
4. Bildiriş təklifi göstərilir</t>
  </si>
  <si>
    <t>1. "İcazə ver"-ə klik et
2. Ekranı müşahidə et</t>
  </si>
  <si>
    <t>Brauzerin native "Bildirişləri göstər — İcazə ver / Blokla" dialoqu açılır; saytın təklifi bağlanır</t>
  </si>
  <si>
    <t>Native brauzer dialoqu WebDriver ilə etibarlı idarə olunmur → manual.</t>
  </si>
  <si>
    <t>TC_HOME_UI_003</t>
  </si>
  <si>
    <t>Ana səhifə banner karuseli dəyişir və banner klikləndikdə aksiya səhifəsi açılır</t>
  </si>
  <si>
    <t>Ana səhifə → Banner karusel</t>
  </si>
  <si>
    <t>1. Banner karuselini 10 saniyə müşahidə et
2. Karuselin sağ oxuna klik et
3. Aktiv bannerə klik et</t>
  </si>
  <si>
    <t>1. Bannerlər avtomatik növbə ilə dəyişir, aktiv banner nöqtə göstəricisində (7 nöqtə) qeyd olunur
2. Ox kliki ilə növbəti banner göstərilir
3. Banner kliki URL-i "/flash_sale/" olan aksiya səhifəsini açır, səhifədə məhsul kartları var</t>
  </si>
  <si>
    <t>Vizual/UX yoxlama insan qiyməti tələb edir, məzmun marketinq tərəfindən tez-tez dəyişir → avtomatlaşdırma flaky olar, ROI aşağıdır.</t>
  </si>
  <si>
    <t>TC_HOME_UI_007</t>
  </si>
  <si>
    <t>Səhifə aşağı scroll edildikdə header (axtarış və səbət) görünən qalır</t>
  </si>
  <si>
    <t>Ana səhifə → Sticky header</t>
  </si>
  <si>
    <t>1. Səhifəni ən aşağıya qədər scroll et
2. Ekranın yuxarı hissəsini müşahidə et</t>
  </si>
  <si>
    <t>Axtarış sahəsi və səbət ikonu ekranın yuxarısında görünən qalır</t>
  </si>
  <si>
    <t>TC_HOME_POS_004</t>
  </si>
  <si>
    <t>[Login] Login olmuş istifadəçinin header-ində "Şəxsi hesabım" göstərilir, "Qeydiyyat | Giriş" göstərilmir</t>
  </si>
  <si>
    <t>Ana səhifə (Login) → Header</t>
  </si>
  <si>
    <t>1. Brauzer: Google Chrome (son stabil versiya)
2. Test hesabı Birmarket-də qeydiyyatdadır, telefon nömrəsi SMS qəbul edir (test icraçısının əlindədir)
3. İstifadəçi həmin hesabla login olub (header-də "Şəxsi hesabım" görünür)
4. Ana səhifə açıqdır: https://birmarket.az/</t>
  </si>
  <si>
    <t>1. Header-i müşahidə et
2. Səhifəni yenilə (F5)
3. Header-i yenidən müşahidə et</t>
  </si>
  <si>
    <t>1. Üst zolaqda "Şəxsi hesabım" göstərilir
2. "Qeydiyyat | Giriş" linki göstərilmir
3. Yeniləmədən sonra login vəziyyəti saxlanılır</t>
  </si>
  <si>
    <t>SMS OTP real telefon tələb edir, prod-da OTP bypass yoxdur, SMS limitləri var → stabil avtomatlaşdırmaq mümkün deyil. Biznes kritik olduğu üçün manual regression-a daxildir.</t>
  </si>
  <si>
    <t>Login vəziyyətində header-də "Şəxsi hesabım" göstərilir, "Qeydiyyat | Giriş" yoxdur; F5-dən sonra login vəziyyəti saxlanılır. PASS.</t>
  </si>
  <si>
    <t>07.10.2026</t>
  </si>
  <si>
    <t>TC_HOME_POS_005</t>
  </si>
  <si>
    <t>[Login] "Şəxsi hesabım"-a klik edildikdə bütün kabinet bölmələri olan menyu açılır</t>
  </si>
  <si>
    <t>Ana səhifə (Login) → Profil menyusu</t>
  </si>
  <si>
    <t>1. Header-dəki "Şəxsi hesabım"-a klik et
2. Açılan menyunun bəndlərini oxu</t>
  </si>
  <si>
    <t>Gözlənilən bəndlər: Hesab, Bildirişlər, Mənim sifarişlərim, Mesaj, Promokodlar, Kredit müraciətləri, Seçilmişlər, Mənim rəylərim, Mənim ünvanlarım, Mənim ID kartım, Əməliyyat tarixçəsi, Çıxış</t>
  </si>
  <si>
    <t>1. Menyu açılır, "birmarket" və "bir bonus" bölmələri ayrıca göstərilir
2. Menyuda dəqiq bu bəndlər var: Hesab, Bildirişlər, Mənim sifarişlərim, Mesaj, Promokodlar, Kredit müraciətləri, Seçilmişlər, Mənim rəylərim, Mənim ünvanlarım, Mənim ID kartım, Əməliyyat tarixçəsi, Çıxış
3. Oxunmamış bildiriş varsa "Bildirişlər" yanında say nişanı göstərilir</t>
  </si>
  <si>
    <t>TC_LANG_POS_001</t>
  </si>
  <si>
    <t>Dil AZ-dan RU-ya dəyişdirildikdə URL /ru prefiksi alır və interfeys rus dilində göstərilir</t>
  </si>
  <si>
    <t>Dil seçimi → AZ→RU</t>
  </si>
  <si>
    <t>1. Header-dəki dil seçicisinə (AZ) klik et
2. "Русский" seçimini et
3. URL-i yoxla
4. Header mətnlərini yoxla</t>
  </si>
  <si>
    <t>Dil: Русский</t>
  </si>
  <si>
    <t>1. URL "https://birmarket.az/ru" ilə başlayır
2. Dil seçicisi "RU" göstərir
3. Header mətnləri rus dilindədir (məs. "Qeydiyyat | Giriş" əvəzinə rusca qarşılığı)</t>
  </si>
  <si>
    <t>Regression-a daxildir, hər release-də təkrarlanır; nəticə data-dan asılı olmayan invariantla yoxlanır (hardcode qiymət/ad yoxdur); xarici asılılıq yoxdur → avtomatlaşdırılır.</t>
  </si>
  <si>
    <t>TC_LANG_POS_002</t>
  </si>
  <si>
    <t>Dil RU-dan AZ-a qaytarıldıqda URL-dən /ru prefiksi silinir və interfeys AZ dilində göstərilir</t>
  </si>
  <si>
    <t>Dil seçimi → RU→AZ</t>
  </si>
  <si>
    <t>1. Brauzer: Google Chrome (son stabil versiya), incognito rejim (cookies/cache təmizdir)
2. İstifadəçi login olmayıb (Guest)
3. Dil: AZ, Şəhər: Bakı (default)
4. Ana səhifə RU dilində açıqdır: https://birmarket.az/ru</t>
  </si>
  <si>
    <t>1. Dil seçicisinə (RU) klik et
2. "Azərbaycan" seçimini et
3. URL-i yoxla
4. Header mətnlərini yoxla</t>
  </si>
  <si>
    <t>Dil: Azərbaycan</t>
  </si>
  <si>
    <t>1. URL-də "/ru" prefiksi yoxdur
2. Dil seçicisi "AZ" göstərir
3. Header-də "Qeydiyyat | Giriş" mətni görünür</t>
  </si>
  <si>
    <t>TC_LANG_POS_003</t>
  </si>
  <si>
    <t>RU dili seçildikdən sonra kateqoriyaya keçid zamanı dil saxlanılır</t>
  </si>
  <si>
    <t>Dil seçimi → Naviqasiyada saxlanma</t>
  </si>
  <si>
    <t>1. Kataloq menyusunu aç
2. 1-ci kateqoriyaya klik et
3. URL-i və H1 başlığını yoxla</t>
  </si>
  <si>
    <t>1. URL "https://birmarket.az/ru/categories/" ilə başlayır
2. H1 başlığı rus dilindədir (kiril əlifbası)</t>
  </si>
  <si>
    <t>Regression-a daxildir, hər release-də təkrarlanır; nəticə data-dan asılı olmayan invariantla yoxlanır (hardcode qiymət/ad yoxdur); xarici asılılıq yoxdur → avtomatlaşdırılır. | Avtomatlaşdırma cəhdindən sonra Manual-a keçirildi: Kateqoriya keçidi overlay menyudan asılıdır.</t>
  </si>
  <si>
    <t>TC_LANG_POS_004</t>
  </si>
  <si>
    <t>RU interfeysində kiril əlifbası ilə axtarış nəticə qaytarır</t>
  </si>
  <si>
    <t>Dil seçimi → RU axtarış</t>
  </si>
  <si>
    <t>1. Axtarış sahəsinə açar sözü daxil et
2. Axtarışı icra et
3. Nəticələri yoxla</t>
  </si>
  <si>
    <t>Açar söz: телефон</t>
  </si>
  <si>
    <t>1. Ən azı 1 məhsul kartı göstərilir
2. URL "/ru" prefiksini saxlayır</t>
  </si>
  <si>
    <t>RU interfeysində "телефон" axtarışı nəticə qaytardı. PASS.</t>
  </si>
  <si>
    <t>TC_LANG_POS_005</t>
  </si>
  <si>
    <t>[Login] Login istifadəçi dili RU-ya dəyişdikdə sessiya saxlanılır</t>
  </si>
  <si>
    <t>Dil seçimi (Login) → Sessiya</t>
  </si>
  <si>
    <t>1. Dil seçicisindən "Русский" seç
2. Header-i yoxla
3. Səbət ikonundakı sayğacı yoxla</t>
  </si>
  <si>
    <t>1. İstifadəçi login qalır ("Şəxsi hesabım" görünür)
2. Səbət sayğacı dil dəyişməzdən əvvəlki ilə eynidir</t>
  </si>
  <si>
    <t>TC_LANG_POS_006</t>
  </si>
  <si>
    <t>[Login] Şəxsi kabinet səhifələri RU dilində tam tərcümə olunmuş göstərilir</t>
  </si>
  <si>
    <t>Dil seçimi (Login) → Kabinet tərcüməsi</t>
  </si>
  <si>
    <t>1. Brauzer: Google Chrome (son stabil versiya)
2. Test hesabı Birmarket-də qeydiyyatdadır, telefon nömrəsi SMS qəbul edir (test icraçısının əlindədir)
3. İstifadəçi həmin hesabla login olub (header-də "Şəxsi hesabım" görünür)
4. Dil: Русский</t>
  </si>
  <si>
    <t>1. "Şəxsi hesabım" menyusunu aç
2. Şəxsi kabinetə keç
3. "Mənim sifarişlərim" bölməsinə keç
4. Hər səhifədə mətnləri yoxla</t>
  </si>
  <si>
    <t>Kabinet səhifələrində AZ dilində qalmış (tərcümə olunmamış) mətn yoxdur</t>
  </si>
  <si>
    <t>OTP ilə login tələb edir (prod-da bypass yoxdur) → avtomatlaşdırıla bilmir. Biznes riski orta/aşağı olduğu üçün regression-a daxil edilmir.</t>
  </si>
  <si>
    <t>TC_CITY_NEG_007</t>
  </si>
  <si>
    <t>Şəhər pəncərəsi seçim etmədən "X" ilə bağlandıqda şəhər dəyişmir</t>
  </si>
  <si>
    <t>Şəhər seçimi → Pəncərənin bağlanması</t>
  </si>
  <si>
    <t>Neqativ, State Transition</t>
  </si>
  <si>
    <t>1. Header-dəki "Şəhər: Bakı"-ya klik et
2. Pəncərədə heç bir şəhər seçmə
3. Sağ yuxarıdakı "X"-ə klik et
4. Header-i yoxla</t>
  </si>
  <si>
    <t>1. Pəncərə bağlanır
2. Header-də "Şəhər: Bakı" qalır</t>
  </si>
  <si>
    <t>Pəncərə X ilə bağlandı, header-də "Şəhər: Bakı" dəyişmədi. PASS.</t>
  </si>
  <si>
    <t>TC_CITY_POS_001</t>
  </si>
  <si>
    <t>Şəhər siyahısından "Gəncə" seçildikdə header-də seçilmiş şəhər göstərilir</t>
  </si>
  <si>
    <t>Şəhər seçimi → Şəhər dəyişmə</t>
  </si>
  <si>
    <t>1. Header-dəki "Şəhər: Bakı" elementinə klik et
2. Açılan "Şəhərinizi seçin" siyahısından şəhəri seç
3. Header-dəki şəhər mətnini yoxla</t>
  </si>
  <si>
    <t>Şəhər: Gəncə</t>
  </si>
  <si>
    <t>1. Şəhər siyahısı bağlanır
2. Header-də "Şəhər: Gəncə" göstərilir</t>
  </si>
  <si>
    <t>Şəhər seçimi çatdırılma şərtlərinə təsir edir; deterministik nəticə, stabil locator → avtomatlaşdırılır.</t>
  </si>
  <si>
    <t>TC_CITY_POS_002</t>
  </si>
  <si>
    <t>Seçilmiş şəhər səhifə yeniləndikdən sonra saxlanılır</t>
  </si>
  <si>
    <t>Şəhər seçimi → Persistence</t>
  </si>
  <si>
    <t>1. Header-dəki şəhər elementinə klik et
2. Şəhəri seç
3. Səhifəni yenilə (F5)
4. Header-dəki şəhər mətnini yoxla</t>
  </si>
  <si>
    <t>Şəhər: Sumqayıt</t>
  </si>
  <si>
    <t>Səhifə yeniləndikdən sonra header-də "Şəhər: Sumqayıt" göstərilir (default "Bakı"-ya qayıtmır)</t>
  </si>
  <si>
    <t>State persistence bug-ları regression-da tez-tez qayıdır; deterministikdir → avtomatlaşdırılır.</t>
  </si>
  <si>
    <t>TC_CITY_POS_003</t>
  </si>
  <si>
    <t>Şəhər dəyişdirildikdə PDP-dəki çatdırılma məlumatı yenilənir</t>
  </si>
  <si>
    <t>Şəhər seçimi → Çatdırılma məlumatı</t>
  </si>
  <si>
    <t>1. Brauzer: Google Chrome (son stabil versiya), incognito rejim (cookies/cache təmizdir)
2. İstifadəçi login olmayıb (Guest)
3. Dil: AZ, Şəhər: Bakı (default)
4. Kateqoriya səhifəsi açıqdır: https://birmarket.az/categories/2-telefonlar-ve-aksessuarlar
5. Məhsul seçim qaydası: kateqoriyada stokda olan ilk məhsul kartı (qiymət/ad hardcode edilmir) — PDP açıqdır</t>
  </si>
  <si>
    <t>1. PDP-dəki çatdırılma tarixini/məlumatını qeyd et
2. Header-dən şəhəri dəyiş
3. PDP-dəki çatdırılma məlumatını yenidən oxu</t>
  </si>
  <si>
    <t>Şəhər: Bakı → Naxçıvan</t>
  </si>
  <si>
    <t>Çatdırılma məlumatı seçilmiş şəhərə uyğun yenilənir (Bakı üçün göstərilən məlumatla eyni qalmır və ya çatdırılma mümkün olmadığı bildirilir)</t>
  </si>
  <si>
    <t>Nəticə prod-da dinamik dəyişən data-dan (stok, sifariş tarixçəsi, məhsul sayı) asılıdır → avtomatlaşdırma flaky olar → manual.</t>
  </si>
  <si>
    <t>TC_CITY_POS_004</t>
  </si>
  <si>
    <t>[Login] Login istifadəçinin seçdiyi şəhər logout və təkrar login-dən sonra saxlanılır</t>
  </si>
  <si>
    <t>Şəhər seçimi (Login) → Hesabda saxlanma</t>
  </si>
  <si>
    <t>1. Şəhəri dəyiş
2. Logout et
3. Təkrar OTP ilə login ol
4. Header-dəki şəhəri yoxla</t>
  </si>
  <si>
    <t>Header-də "Şəhər: Gəncə" göstərilir (GQ_UI_13)</t>
  </si>
  <si>
    <t>TC_CITY_POS_005</t>
  </si>
  <si>
    <t>[Login] Checkout-da çatdırılma şəhəri header-də seçilmiş şəhərlə uyğun gəlir</t>
  </si>
  <si>
    <t>Şəhər seçimi (Login) → Checkout</t>
  </si>
  <si>
    <t>1. Brauzer: Google Chrome (son stabil versiya)
2. Test hesabı Birmarket-də qeydiyyatdadır, telefon nömrəsi SMS qəbul edir (test icraçısının əlindədir)
3. İstifadəçi həmin hesabla login olub (header-də "Şəxsi hesabım" görünür)
4. Header-də şəhər: Sumqayıt
5. Səbətdə 1 məhsul var</t>
  </si>
  <si>
    <t>1. Səbətə keç
2. "Sifarişi rəsmiləşdir"-ə klik et
3. Çatdırılma bölməsində şəhəri yoxla
4. Sifarişi TƏSDİQLƏMƏ</t>
  </si>
  <si>
    <t>Checkout-da çatdırılma şəhəri "Sumqayıt" kimi göstərilir və ya ilkin seçilmiş olur</t>
  </si>
  <si>
    <t>TC_CITY_POS_006</t>
  </si>
  <si>
    <t>[Login→Logout] Logout-dan sonra "Şəhərinizi seçin" pəncərəsi avtomatik açılır</t>
  </si>
  <si>
    <t>Şəhər seçimi (Login→Logout) → Avtomatik pəncərə</t>
  </si>
  <si>
    <t>1. Brauzer: Google Chrome (son stabil versiya)
2. Test hesabı Birmarket-də qeydiyyatdadır, telefon nömrəsi SMS qəbul edir (test icraçısının əlindədir)
3. İstifadəçi həmin hesabla login olub (header-də profil ikonu görünür)
4. Header-də şəhər: Bakı</t>
  </si>
  <si>
    <t>1. "Şəxsi hesabım" → "Çıxış"-a klik et
2. Açılan ekranı müşahidə et
3. Pəncərədə seçilmiş şəhəri yoxla</t>
  </si>
  <si>
    <t>1. "Şəhərinizi seçin" pəncərəsi avtomatik açılır
2. "Bakı" ✓ işarəsi ilə seçili göstərilir
3. Siyahıda bütün şəhərlər əlifba sırası ilə sütunlarda göstərilir (GQ_UI_13)</t>
  </si>
  <si>
    <t>TC_SRCH_EDGE_005</t>
  </si>
  <si>
    <t>Axtarışa HTML/JS kodu daxil edildikdə kod icra olunmur və mətn kimi işlənir</t>
  </si>
  <si>
    <t>Axtarış → Xüsusi simvollar</t>
  </si>
  <si>
    <t>Neqativ, Edge</t>
  </si>
  <si>
    <t>1. Axtarış sahəsinə test datanı daxil et
2. "Axtar" düyməsinə klik et
3. Səhifəni müşahidə et</t>
  </si>
  <si>
    <t>Açar söz: &lt;script&gt;alert(1)&lt;/script&gt;</t>
  </si>
  <si>
    <t>1. Brauzerdə alert pəncərəsi açılmır
2. Səhifədə düz mətn kimi göstərilir: Sorğuya uyğun məhsul tapılmadı "&lt;script&gt;alert(1)&lt;/script&gt;"
3. Səhifə 500 xətası vermir</t>
  </si>
  <si>
    <t>Bir dəfəlik təhlükəsizlik sanity yoxlamasıdır; tam security testi scope-dan kənardır, funksional regression-a aid deyil → manual.</t>
  </si>
  <si>
    <t>TC_SRCH_EDGE_007</t>
  </si>
  <si>
    <t>Çox uzun (256 simvol) sorğu ilə axtarış sistemi çökdürmür</t>
  </si>
  <si>
    <t>Axtarış → Uzun sorğu</t>
  </si>
  <si>
    <t>Edge</t>
  </si>
  <si>
    <t>Açar söz: "a" simvolu × 256</t>
  </si>
  <si>
    <t>1. Səhifə 500/timeout xətası vermir
2. Sorğuya uyğun məhsul tapılmadı "aaa…" mesajı göstərilir və ya sahə simvol limitindən artığını qəbul etmir</t>
  </si>
  <si>
    <t>Edge case, bir dəfəlik exploratory yoxlama; regression dəyəri aşağı → manual.</t>
  </si>
  <si>
    <t>TC_SRCH_EDGE_012</t>
  </si>
  <si>
    <t>Tək simvolla ("a") axtarış sistemi çökdürmür</t>
  </si>
  <si>
    <t>Axtarış → Minimum uzunluq</t>
  </si>
  <si>
    <t>Edge, BVA</t>
  </si>
  <si>
    <t>1. Axtarış sahəsinə 1 simvol daxil et
2. Axtarışı icra et
3. Nəticəni müşahidə et</t>
  </si>
  <si>
    <t>Açar söz: a (1 simvol)</t>
  </si>
  <si>
    <t>Ya nəticələr göstərilir, ya da minimum simvol sayı barədə mesaj göstərilir; 500 xətası yoxdur (GQ_UI_20)</t>
  </si>
  <si>
    <t>Gözlənilən davranış tələbdə müəyyən deyil (Grooming Questions sheet-ə bax). Cavab gəlməyənə qədər manual; təsdiqdən sonra avtomatlaşdırma namizədidir.</t>
  </si>
  <si>
    <t>TC_SRCH_NEG_003</t>
  </si>
  <si>
    <t>Mövcud olmayan açar sözlə axtarışda məhsul qaytarılmır və boş nəticə mesajı göstərilir</t>
  </si>
  <si>
    <t>Axtarış → Nəticəsiz sorğu</t>
  </si>
  <si>
    <t>Neqativ</t>
  </si>
  <si>
    <t>1. Axtarış sahəsinə açar sözü daxil et
2. "Axtar" düyməsinə klik et
3. Nəticə səhifəsini müşahidə et</t>
  </si>
  <si>
    <t>Açar söz: qwxzqwxz123</t>
  </si>
  <si>
    <t>1. Məhsul kartı sayı = 0
2. Mesaj göstərilir: Sorğuya uyğun məhsul tapılmadı "qwxzqwxz123"
3. Alt mətn göstərilir: "Yazılış qaydasını yoxlayın, digər açar sözlərini istifadə edin və ya axtarışı kateqoriya seçimindən başlayın"
4. Səhifə xəta vermir (500 yoxdur)</t>
  </si>
  <si>
    <t>TC_SRCH_NEG_004</t>
  </si>
  <si>
    <t>Boş axtarış sahəsi ilə "Axtar" düyməsinə klik edildikdə axtarış icra olunmur</t>
  </si>
  <si>
    <t>Axtarış → Boş sorğu</t>
  </si>
  <si>
    <t>1. Axtarış sahəsini boş saxla
2. "Axtar" düyməsinə klik et
3. URL-i və səhifəni müşahidə et</t>
  </si>
  <si>
    <t>Açar söz: (boş)</t>
  </si>
  <si>
    <t>1. Heç bir reaksiya olmur: nəticə səhifəsinə keçid baş vermir
2. URL dəyişmir (https://birmarket.az/ qalır)
3. Səhifə xəta vermir</t>
  </si>
  <si>
    <t>Davranış saytda təsdiqlənib (GQ cavablanıb); deterministik nəticə, SMS/login tələb etmir → avtomatlaşdırılır.</t>
  </si>
  <si>
    <t>TC_SRCH_POS_001</t>
  </si>
  <si>
    <t>Mövcud açar sözlə ("iphone") axtarış nəticələri açar sözü ehtiva edən məhsulları qaytarır</t>
  </si>
  <si>
    <t>Axtarış → Açar söz</t>
  </si>
  <si>
    <t>1. Axtarış sahəsinə açar sözü daxil et
2. "Axtar" düyməsinə klik et
3. Nəticə səhifəsindəki məhsul kartlarını yoxla</t>
  </si>
  <si>
    <t>Açar söz: iphone</t>
  </si>
  <si>
    <t>1. Nəticə səhifəsində ən azı 1 məhsul kartı var
2. İlk 10 kartın hər birinin adı "iphone" sözünü ehtiva edir (böyük/kiçik hərfdən asılı olmayaraq)
3. Hər kartda qiymət "₼" valyutası ilə göstərilir</t>
  </si>
  <si>
    <t>Əsas biznes axını (axtarış = satışın girişi). Yoxlama sabit nəticə sayına yox, invarianta (ad açar sözü ehtiva edir) əsaslanır → flaky deyil, avtomatlaşdırılır.</t>
  </si>
  <si>
    <t>TC_SRCH_POS_002</t>
  </si>
  <si>
    <t>Axtarış böyük/kiçik hərfə həssas deyil: "IPHONE" və "iphone" eyni nəticəni qaytarır</t>
  </si>
  <si>
    <t>Axtarış → Case-insensitive</t>
  </si>
  <si>
    <t>Pozitiv, Edge</t>
  </si>
  <si>
    <t>1. Axtarış sahəsinə 1-ci açar sözü daxil edib axtar
2. İlk 5 məhsulun adlarını qeyd et
3. Ana səhifəyə qayıt
4. Axtarış sahəsinə 2-ci açar sözü daxil edib axtar
5. İlk 5 məhsulun adlarını müqayisə et</t>
  </si>
  <si>
    <t>Açar söz 1: iphone
Açar söz 2: IPHONE</t>
  </si>
  <si>
    <t>Hər iki axtarışda ilk 5 məhsulun adları və sırası eynidir</t>
  </si>
  <si>
    <t>İki nəticə bir-biri ilə müqayisə olunur (hardcode yoxdur) → data dəyişsə də stabil; regression-da axtarış alqoritmi dəyişikliyini tutur → avtomatlaşdırılır.</t>
  </si>
  <si>
    <t>"iphone" və "IPHONE" sorğuları eyni nəticəni qaytardı: "Tapılan məhsul: 300". PASS.</t>
  </si>
  <si>
    <t>TC_SRCH_POS_006</t>
  </si>
  <si>
    <t>Axtarış sahəsinə yazarkən avtomatik təkliflər (autocomplete) göstərilir</t>
  </si>
  <si>
    <t>Axtarış → Autocomplete</t>
  </si>
  <si>
    <t>Pozitiv, UI</t>
  </si>
  <si>
    <t>1. Axtarış sahəsinə klik et
2. Test datanı yaz, Enter basma
3. Açılan təkliflər siyahısını müşahidə et
4. İlk təklifə klik et</t>
  </si>
  <si>
    <t>Mətn: sams</t>
  </si>
  <si>
    <t>1. Sahənin altında təkliflər siyahısı açılır
2. Təkliflər "sams" hərf birləşməsini ehtiva edir
3. Təklifə klik nəticə səhifəsini açır</t>
  </si>
  <si>
    <t>Təkliflər populyarlığa görə dinamik dəyişir və debounce/async render olunur; biznes riski aşağı → manual.</t>
  </si>
  <si>
    <t>TC_SRCH_POS_008</t>
  </si>
  <si>
    <t>Axtarış Enter düyməsi ilə də icra olunur və "Axtar" düyməsi ilə eyni nəticəni verir</t>
  </si>
  <si>
    <t>Axtarış → Enter ilə axtarış</t>
  </si>
  <si>
    <t>1. Axtarış sahəsinə açar sözü yaz
2. Klaviaturada Enter bas
3. İlk 5 məhsulun adını qeyd et
4. Ana səhifəyə qayıt, eyni sözü yazıb "Axtar" düyməsinə klik et
5. İlk 5 məhsulu müqayisə et</t>
  </si>
  <si>
    <t>Açar söz: samsung</t>
  </si>
  <si>
    <t>1. Enter ilə nəticə səhifəsi açılır
2. Hər iki üsulla ilk 5 məhsulun adları eynidir</t>
  </si>
  <si>
    <t>TC_SRCH_POS_009</t>
  </si>
  <si>
    <t>Axtarış nəticəsindəki karta klik edildikdə həmin məhsulun PDP-si açılır</t>
  </si>
  <si>
    <t>Axtarış → Nəticədən PDP-yə keçid</t>
  </si>
  <si>
    <t>1. Açar sözlə axtar
2. İlk kartın adını qeyd et
3. Karta klik et
4. PDP-dəki adı oxu</t>
  </si>
  <si>
    <t>1. URL "/product/" ehtiva edir
2. PDP adı = kartdakı ad</t>
  </si>
  <si>
    <t>TC_SRCH_POS_010</t>
  </si>
  <si>
    <t>Kateqoriyadan götürülmüş tam məhsul adı ilə axtarışda həmin məhsul ilk 10 nəticədə olur</t>
  </si>
  <si>
    <t>Axtarış → Tam adla axtarış</t>
  </si>
  <si>
    <t>1. Kateqoriyadakı 1-ci kartın tam adını qeyd et
2. Həmin adı axtarış sahəsinə daxil et və axtar
3. İlk 10 nəticənin adlarını oxu</t>
  </si>
  <si>
    <t>Açar söz: 1-ci kartın adı (dinamik — UI-dan oxunur)</t>
  </si>
  <si>
    <t>Qeyd edilmiş ad ilk 10 nəticənin birinin adı ilə tam üst-üstə düşür</t>
  </si>
  <si>
    <t>Axtarış relevansını yoxlayır; test data UI-dan dinamik götürülür (hardcode yoxdur) → məhsul dəyişsə də stabil, avtomatlaşdırılır. | Avtomatlaşdırma cəhdindən sonra Manual-a keçirildi: Nəticə dinamik prod məhsul adından asılıdır.</t>
  </si>
  <si>
    <t>Kateqoriyanın 1-ci məhsulu "Smartfon Apple iPhone 18 Pro 256GB Burgundy" adı ilə axtarıldı: "Tapılan məhsul: 172", həmin məhsul (3 587.89 ₼, MJRR4QN) nəticələrdə 1-ci yerdədir. PASS.</t>
  </si>
  <si>
    <t>TC_SRCH_POS_011</t>
  </si>
  <si>
    <t>Axtarış icra olunduqdan sonra sorğu mətni axtarış sahəsində qalır</t>
  </si>
  <si>
    <t>Axtarış → Sorğunun saxlanması</t>
  </si>
  <si>
    <t>1. Açar sözlə axtar
2. Nəticə səhifəsində axtarış sahəsinin dəyərini oxu</t>
  </si>
  <si>
    <t>Açar söz: xiaomi</t>
  </si>
  <si>
    <t>Axtarış sahəsində "xiaomi" mətni qalır</t>
  </si>
  <si>
    <t>TC_SRCH_POS_013</t>
  </si>
  <si>
    <t>[Login] Login istifadəçi üçün axtarış nəticələri guest ilə eynidir</t>
  </si>
  <si>
    <t>Axtarış (Login) → Nəticə uyğunluğu</t>
  </si>
  <si>
    <t>1. Brauzer: Google Chrome (son stabil versiya)
2. Test hesabı Birmarket-də qeydiyyatdadır, telefon nömrəsi SMS qəbul edir (test icraçısının əlindədir)
3. İstifadəçi həmin hesabla login olub (header-də "Şəxsi hesabım" görünür)
4. Ana səhifə açıqdır: https://birmarket.az/
5. Paralel olaraq incognito pəncərədə guest sessiyası açıqdır</t>
  </si>
  <si>
    <t>1. Login sessiyasında açar sözlə axtar, ilk 5 məhsulu qeyd et
2. Guest sessiyasında eyni sözlə axtar, ilk 5 məhsulu qeyd et
3. Müqayisə et</t>
  </si>
  <si>
    <t>Hər iki sessiyada ilk 5 məhsul eynidir (personallaşdırma axtarışı pozmur)</t>
  </si>
  <si>
    <t>TC_CAT_NEG_006</t>
  </si>
  <si>
    <t>Mövcud olmayan kateqoriya URL-i açıldıqda 404 səhifəsi göstərilir</t>
  </si>
  <si>
    <t>Kataloq → Yanlış URL</t>
  </si>
  <si>
    <t>1. Brauzerdə test URL-ni aç
2. Səhifəni müşahidə et</t>
  </si>
  <si>
    <t>URL: https://birmarket.az/categories/999999-movcud-olmayan</t>
  </si>
  <si>
    <t>1. Başlıq: "Səhifə tapılmadı"
2. Mətn: "Əfsuslar olsun ki belə səhifə yoxdur və ya ünvan yanlışdır"
3. 500 xətası yoxdur</t>
  </si>
  <si>
    <t>Deterministik nəticə, error handling regression-u → avtomatlaşdırılır.</t>
  </si>
  <si>
    <t>TC_CAT_POS_001</t>
  </si>
  <si>
    <t>"Məhsul kataloqu" düyməsinə klik edildikdə əsas kateqoriyalar siyahısı açılır</t>
  </si>
  <si>
    <t>Kataloq → Kateqoriya menyusu</t>
  </si>
  <si>
    <t>1. Header-dəki "Məhsul kataloqu" düyməsinə klik et
2. Açılan menyunu müşahidə et</t>
  </si>
  <si>
    <t>Gözlənilən kateqoriya: Telefonlar, Smart cihazlar və telefon aksessuarları</t>
  </si>
  <si>
    <t>1. Kateqoriya menyusu açılır
2. Siyahıda ən azı 10 kateqoriya var
3. "Telefonlar, Smart cihazlar və telefon aksessuarları" kateqoriyası siyahıdadır</t>
  </si>
  <si>
    <t>Naviqasiyanın əsas girişi, smoke; kateqoriya strukturu stabildir → avtomatlaşdırılır. | Avtomatlaşdırma cəhdindən sonra Manual-a keçirildi: Kataloq menyusu overlay/hover ilə açılır, stabil locator yoxdur.</t>
  </si>
  <si>
    <t>"Məhsul kataloqu" menyusu açıldı: 20 kateqoriya + 3 kampaniya linki (60%-dək payız endirimləri, iPhone 18, Mega endirimlər). "Telefonlar, Smart cihazlar və telefon aksessuarları" siyahıdadır. PASS.</t>
  </si>
  <si>
    <t>TC_CAT_POS_002</t>
  </si>
  <si>
    <t>Kateqoriyaya klik edildikdə müvafiq kateqoriya səhifəsi məhsullarla açılır</t>
  </si>
  <si>
    <t>Kataloq → Kateqoriya səhifəsi</t>
  </si>
  <si>
    <t>1. "Məhsul kataloqu" düyməsinə klik et
2. Kateqoriyaya klik et
3. URL-i, H1 başlığını və məhsul kartlarını yoxla</t>
  </si>
  <si>
    <t>Kateqoriya: Telefonlar, Smart cihazlar və telefon aksessuarları</t>
  </si>
  <si>
    <t>1. URL "/categories/2-telefonlar-ve-aksessuarlar" ehtiva edir
2. H1 başlığı = "Telefonlar, Smart cihazlar və telefon aksessuarları"
3. Ən azı 1 məhsul kartı göstərilir</t>
  </si>
  <si>
    <t>TC_CAT_POS_003</t>
  </si>
  <si>
    <t>Kateqoriya səhifəsindəki breadcrumb düzgün iyerarxiyanı göstərir və "Birmarket" linki ana səhifəyə aparır</t>
  </si>
  <si>
    <t>Kataloq → Breadcrumb</t>
  </si>
  <si>
    <t>1. Breadcrumb elementlərini oxu
2. Breadcrumb-dakı "Birmarket" linkinə klik et
3. URL-i yoxla</t>
  </si>
  <si>
    <t>1. Breadcrumb ardıcıllığı: Birmarket → Kateqoriyalar → Elektronika və məişət texnikası
2. "Birmarket" linki https://birmarket.az/ açır</t>
  </si>
  <si>
    <t>İyerarxiya kataloq dəyişikliklərində sınır; stabil və deterministikdir → avtomatlaşdırılır.</t>
  </si>
  <si>
    <t>TC_CAT_POS_004</t>
  </si>
  <si>
    <t>Alt kateqoriyaya keçid zamanı H1 və breadcrumb alt kateqoriyanı əks etdirir</t>
  </si>
  <si>
    <t>Kataloq → Alt kateqoriya</t>
  </si>
  <si>
    <t>1. "Mobil telefonlar və smartfonlar" alt kateqoriyasına klik et
2. URL-i yoxla
3. H1 başlığını yoxla
4. Breadcrumb-u yoxla</t>
  </si>
  <si>
    <t>Alt kateqoriya: Mobil telefonlar və smartfonlar</t>
  </si>
  <si>
    <t>1. URL "/categories/3-mobil-telefonlar-ve-smartfonlar" ehtiva edir
2. H1 = "Mobil telefonlar və smartfonlar"
3. Breadcrumb-da valideyn kateqoriya göstərilir
4. Ən azı 1 məhsul kartı var</t>
  </si>
  <si>
    <t>Regression-a daxildir, hər release-də təkrarlanır; nəticə data-dan asılı olmayan invariantla yoxlanır (hardcode qiymət/ad yoxdur); xarici asılılıq yoxdur → avtomatlaşdırılır. | Avtomatlaşdırma cəhdindən sonra Manual-a keçirildi: Alt kateqoriya strukturu dinamikdir, stabil locator yoxdur.</t>
  </si>
  <si>
    <t>TC_CAT_POS_005</t>
  </si>
  <si>
    <t>"Bütün kateqoriyalar" linki bütün əsas kateqoriyaları göstərən səhifəni açır</t>
  </si>
  <si>
    <t>Kataloq → Bütün kateqoriyalar</t>
  </si>
  <si>
    <t>1. "Məhsul kataloqu"-nu aç
2. "Bütün kateqoriyalar" linkinə klik et
3. Səhifəni yoxla</t>
  </si>
  <si>
    <t>1. URL "/categories" olur
2. Kataloq menyusundakı bütün əsas kateqoriyalar səhifədə göstərilir</t>
  </si>
  <si>
    <t>TC_CAT_UI_007</t>
  </si>
  <si>
    <t>Kataloq menyusunda kursor kateqoriyanın üzərinə gətirildikdə alt kateqoriyalar göstərilir</t>
  </si>
  <si>
    <t>Kataloq → Hover menyu</t>
  </si>
  <si>
    <t>1. "Məhsul kataloqu"-nu aç
2. Kursoru "Məişət texnikası" kateqoriyasının üzərinə gətir
3. Sağ paneli müşahidə et</t>
  </si>
  <si>
    <t>Sağ paneldə "Məişət texnikası"-nın alt kateqoriyaları göstərilir</t>
  </si>
  <si>
    <t>Hover əsaslı interaksiya avtomatlaşdırmada qeyri-stabildir; vizual yoxlamadır → manual.</t>
  </si>
  <si>
    <t>TC_PLP_BVA_005</t>
  </si>
  <si>
    <t>Qiymət filtrinə mənfi dəyər (-1) daxil edildikdə sahə onu qəbul etmir</t>
  </si>
  <si>
    <t>Məhsul siyahısı → Qiymət filtri</t>
  </si>
  <si>
    <t>Neqativ, BVA</t>
  </si>
  <si>
    <t>1. Minimum qiymət sahəsinə test datanı daxil et
2. Sahədə qalan dəyəri yoxla
3. Filtri tətbiq et</t>
  </si>
  <si>
    <t>Min: -1 (alt sərhəd 0-ın altı)</t>
  </si>
  <si>
    <t>1. Mənfi dəyər daxil edilən kimi sahə avtomatik sıfırlanır
2. Filtr tətbiq olunmur, məhsul sayı dəyişmir</t>
  </si>
  <si>
    <t>Davranış təsdiqlənib (sahə yanlış dəyəri avtomatik sıfırlayır) → deterministik, SMS/login tələb etmir, avtomatlaşdırılır.</t>
  </si>
  <si>
    <t>TC_PLP_BVA_012</t>
  </si>
  <si>
    <t>Qiymət filtrində min = max olduqda sistem xəta vermir</t>
  </si>
  <si>
    <t>BVA, Edge</t>
  </si>
  <si>
    <t>1. Min dəyəri daxil et
2. Max dəyəri daxil et
3. Filtri tətbiq et</t>
  </si>
  <si>
    <t>Min: 25
Max: 25</t>
  </si>
  <si>
    <t>1. Yalnız qiyməti 25.00 ₼ olan məhsullar göstərilir və ya boş nəticə mesajı
2. 500 xətası yoxdur</t>
  </si>
  <si>
    <t>TC_PLP_NEG_004</t>
  </si>
  <si>
    <t>Qiymət filtrində minimum maksimumdan böyük daxil edildikdə dəyər avtomatik sıfırlanır</t>
  </si>
  <si>
    <t>Neqativ, Decision Table</t>
  </si>
  <si>
    <t>1. "Qiyməti" bölməsində max dəyəri daxil et
2. Min dəyəri daxil et
3. Sahələrin dəyərlərini oxu
4. Kartların sayını yoxla</t>
  </si>
  <si>
    <t>Min: 200
Max: 100</t>
  </si>
  <si>
    <t>1. Yanlış dəyər daxil edilən kimi sahə avtomatik sıfırlanır
2. Filtr tətbiq olunmur, məhsul sayı dəyişmir
3. 500 xətası yoxdur</t>
  </si>
  <si>
    <t>Davranış təsdiqlənib (sahə yanlış dəyəri avtomatik sıfırlayır) → deterministik, SMS/login tələb etmir, avtomatlaşdırılır. | Avtomatlaşdırma cəhdindən sonra Manual-a keçirildi: Qiymət filtrinin "OK" düyməsi avtomatlaşdırmada tətbiq olunmur (filtr URL parametri ilə işləyir).</t>
  </si>
  <si>
    <t>Min &gt; Max daxil edildikdə sahə avtomatik sıfırlanır, xəta/500 yoxdur (GQ_UI_02). PASS.</t>
  </si>
  <si>
    <t>TC_PLP_NEG_013</t>
  </si>
  <si>
    <t>Qiymət filtrinə hərf daxil edildikdə sahə onu qəbul etmir</t>
  </si>
  <si>
    <t>Neqativ, EP</t>
  </si>
  <si>
    <t>1. Min qiymət sahəsinə test datanı daxil et
2. Sahənin dəyərini oxu</t>
  </si>
  <si>
    <t>Min: abc</t>
  </si>
  <si>
    <t>Hərf daxil edilən kimi sahə avtomatik sıfırlanır (boş qalır), filtr tətbiq olunmur</t>
  </si>
  <si>
    <t>TC_PLP_NEG_014</t>
  </si>
  <si>
    <t>Mövcud olmayan səhifə nömrəsi (page=99999) xəta vermədən idarə olunur</t>
  </si>
  <si>
    <t>Məhsul siyahısı → Pagination sərhədi</t>
  </si>
  <si>
    <t>URL: https://birmarket.az/categories/2-telefonlar-ve-aksessuarlar?page=99999</t>
  </si>
  <si>
    <t>1. 500 xətası yoxdur
2. Ya boş siyahı mesajı, ya 404, ya da son səhifəyə yönləndirmə baş verir</t>
  </si>
  <si>
    <t>TC_PLP_POS_001</t>
  </si>
  <si>
    <t>Məhsullar "Ən ucuz" sıralandıqda qiymətlər azalmayan ardıcıllıqla göstərilir</t>
  </si>
  <si>
    <t>Məhsul siyahısı → Sıralama</t>
  </si>
  <si>
    <t>1. Sıralama seçicisinə klik et
2. "Ən ucuz" seçimini et
3. Siyahının yenilənməsini gözlə
4. İlk 20 kartın cari (endirimli) qiymətini oxu</t>
  </si>
  <si>
    <t>Sıralama: Ən ucuz</t>
  </si>
  <si>
    <t>Hər qonşu kart cütü üçün: qiymət[i] ≤ qiymət[i+1] (ilk 20 kart)</t>
  </si>
  <si>
    <t>Sıralama seçimi saytda təsdiqlənib; konkret qiymət yox, sıralama invariantı yoxlanılır → data dəyişsə də stabil, avtomatlaşdırılır.</t>
  </si>
  <si>
    <t>TC_PLP_POS_002</t>
  </si>
  <si>
    <t>Məhsullar "Ən bahalı" sıralandıqda qiymətlər artmayan ardıcıllıqla göstərilir</t>
  </si>
  <si>
    <t>1. Sıralama seçicisinə klik et
2. "Ən bahalı" seçimini et
3. Siyahının yenilənməsini gözlə
4. İlk 20 kartın cari qiymətini oxu</t>
  </si>
  <si>
    <t>Sıralama: Ən bahalı</t>
  </si>
  <si>
    <t>Hər qonşu kart cütü üçün: qiymət[i] ≥ qiymət[i+1] (ilk 20 kart)</t>
  </si>
  <si>
    <t>TC_PLP_POS_003</t>
  </si>
  <si>
    <t>Qiymət filtri (100–200 ₼) tətbiq edildikdə yalnız həmin aralıqda qiyməti olan məhsullar göstərilir</t>
  </si>
  <si>
    <t>Pozitiv, EP</t>
  </si>
  <si>
    <t>1. Filtr panelində "Qiyməti" bölməsində minimum dəyəri daxil et
2. Maksimum dəyəri daxil et
3. "OK" düyməsinə klik et
4. Göstərilən bütün kartların cari qiymətini oxu</t>
  </si>
  <si>
    <t>Min: 100
Max: 200</t>
  </si>
  <si>
    <t>1. Ən azı 1 məhsul göstərilir
2. Hər kartın cari qiyməti 100.00 ≤ qiymət ≤ 200.00 ₼
3. URL-də/filtr panelində tətbiq olunmuş filtr görünür</t>
  </si>
  <si>
    <t>Aralıq invariantı yoxlanılır (hardcode nəticə yoxdur); filtr məntiqi regression riski yüksəkdir → avtomatlaşdırılır.</t>
  </si>
  <si>
    <t>Filtr URL parametrləri ilə tətbiq olunur (?price_from=100&amp;price_to=200). Min/Max sahələri 100/200 göstərir, bütün məhsul qiymətləri 100–200 ₼ aralığındadır. PASS.</t>
  </si>
  <si>
    <t>TC_PLP_POS_006</t>
  </si>
  <si>
    <t>Səhifələmədə 2-ci səhifəyə keçid fərqli məhsullar göstərir</t>
  </si>
  <si>
    <t>Məhsul siyahısı → Pagination</t>
  </si>
  <si>
    <t>1. 1-ci səhifədəki ilk 5 məhsulun adını qeyd et
2. Səhifənin aşağısındakı "2" səhifə linkinə klik et
3. URL-i yoxla
4. İlk 5 məhsulun adını müqayisə et</t>
  </si>
  <si>
    <t>Səhifə: 2</t>
  </si>
  <si>
    <t>1. URL "?page=2" ehtiva edir
2. 2-ci səhifənin ilk 5 məhsulu 1-ci səhifənin ilk 5 məhsulundan fərqlidir
3. Aktiv səhifə göstəricisi "2"-dir</t>
  </si>
  <si>
    <t>TC_PLP_POS_007</t>
  </si>
  <si>
    <t>Endirimli məhsul kartında köhnə qiymət, yeni qiymət və endirim faizi düzgün hesablanır</t>
  </si>
  <si>
    <t>Məhsul siyahısı → Endirim göstəricisi</t>
  </si>
  <si>
    <t>1. Endirim nişanı (məs. "-9 %") olan ilk kartı tap
2. Köhnə (üstüxətli) qiyməti oxu
3. Yeni qiyməti oxu
4. Endirim faizini oxu</t>
  </si>
  <si>
    <t>Seçim qaydası: endirim nişanı olan ilk kart
Formula: round((köhnə − yeni) / köhnə × 100)</t>
  </si>
  <si>
    <t>1. Köhnə qiymət &gt; yeni qiymət
2. Göstərilən endirim faizi formula nəticəsi ilə ±1% dəqiqliklə üst-üstə düşür</t>
  </si>
  <si>
    <t>Biznes məntiqi (qiymət hesablanması); dəyərlər UI-dan oxunub bir-biri ilə müqayisə olunur, yuvarlaqlaşdırma üçün ±1 tolerans → stabil, avtomatlaşdırılır. | Avtomatlaşdırma cəhdindən sonra Manual-a keçirildi: Endirim faizi yuvarlaqlaşdırması və kampaniyalar dəyişkəndir.</t>
  </si>
  <si>
    <t>TC_PLP_POS_008</t>
  </si>
  <si>
    <t>Brend filtri (Xiaomi) tətbiq edildikdə yalnız həmin brendin məhsulları göstərilir</t>
  </si>
  <si>
    <t>Məhsul siyahısı → Brend filtri</t>
  </si>
  <si>
    <t>1. Brauzer: Google Chrome (son stabil versiya), incognito rejim (cookies/cache təmizdir)
2. İstifadəçi login olmayıb (Guest)
3. Dil: AZ, Şəhər: Bakı (default)
4. Alt kateqoriya səhifəsi açıqdır: https://birmarket.az/categories/3-mobil-telefonlar-ve-smartfonlar</t>
  </si>
  <si>
    <t>1. Kateqoriyanın ümumi məhsul sayını oxu (məs. "1496 məhsul")
2. Filtr panelində "Brend" bölməsində brendi seç (lazım olsa "Hamısını göstər"-ə klik et)
3. Siyahının yenilənməsini gözlə
4. Ümumi məhsul sayını yenidən oxu
5. İlk 20 kartın adını oxu</t>
  </si>
  <si>
    <t>Brend: Xiaomi</t>
  </si>
  <si>
    <t>1. Yeni məhsul sayı &gt; 0 və ilkin saydan azdır
2. Hər kartın adı "Xiaomi" sözünü ehtiva edir</t>
  </si>
  <si>
    <t>İnvariant yoxlaması (ad brendi ehtiva edir); filtr məntiqi yüksək riskli → avtomatlaşdırılır. | Avtomatlaşdırma cəhdindən sonra Manual-a keçirildi: Brend filtri siyahısı dinamikdir, locator toplanmayıb.</t>
  </si>
  <si>
    <t>"Mobil telefonlar və smartfonlar": 1504 məhsul → Brend "Xiaomi" seçildikdən sonra 139 məhsul. Görünən bütün kartların adında "Xiaomi" var. PASS.</t>
  </si>
  <si>
    <t>TC_PLP_POS_009</t>
  </si>
  <si>
    <t>Brend və qiymət filtri birlikdə tətbiq edildikdə hər iki şərtə uyğun məhsullar göstərilir</t>
  </si>
  <si>
    <t>Məhsul siyahısı → Kombinə filtr</t>
  </si>
  <si>
    <t>Pozitiv, Decision Table</t>
  </si>
  <si>
    <t>1. "Brend" bölməsindən brendi seç
2. "Qiyməti" bölməsində min dəyəri daxil et
3. Max dəyəri daxil et
4. "OK" düyməsinə klik et
5. Bütün kartları yoxla</t>
  </si>
  <si>
    <t>Brend: Xiaomi
Min: 200
Max: 500</t>
  </si>
  <si>
    <t>Hər kart üçün: ad "Xiaomi" ehtiva edir VƏ 200.00 ≤ qiymət ≤ 500.00 ₼</t>
  </si>
  <si>
    <t>Decision Table — şərtlərin AND kombinasiyası; invariant yoxlaması → stabil, avtomatlaşdırılır. | Avtomatlaşdırma cəhdindən sonra Manual-a keçirildi: Brend filtri siyahısı dinamikdir, locator toplanmayıb.</t>
  </si>
  <si>
    <t>TC_PLP_POS_010</t>
  </si>
  <si>
    <t>Filtrlər sıfırlandıqda siyahı ilkin vəziyyətə qayıdır</t>
  </si>
  <si>
    <t>Məhsul siyahısı → Filtrləri sıfırlama</t>
  </si>
  <si>
    <t>1. İlk 5 kartın adını qeyd et
2. Brend filtrini tətbiq et
3. "Sıfırla"/filtri ləğv et düyməsinə klik et
4. İlk 5 kartın adını müqayisə et</t>
  </si>
  <si>
    <t>1. Aktiv filtr göstəricisi yox olur
2. İlk 5 kart filtrdən əvvəlki ilə eynidir</t>
  </si>
  <si>
    <t>Regression-a daxildir, hər release-də təkrarlanır; nəticə data-dan asılı olmayan invariantla yoxlanır (hardcode qiymət/ad yoxdur); xarici asılılıq yoxdur → avtomatlaşdırılır. | Avtomatlaşdırma cəhdindən sonra Manual-a keçirildi: Qiymət filtrinin "OK" düyməsi avtomatlaşdırmada tətbiq olunmur.</t>
  </si>
  <si>
    <t>TC_PLP_POS_011</t>
  </si>
  <si>
    <t>Tətbiq olunmuş filtr səhifə yeniləndikdən sonra saxlanılır</t>
  </si>
  <si>
    <t>Məhsul siyahısı → Filtrin saxlanması</t>
  </si>
  <si>
    <t>1. Brend filtrini tətbiq et
2. URL-i qeyd et
3. Səhifəni yenilə (F5)
4. Filtr panelini və kartları yoxla</t>
  </si>
  <si>
    <t>1. URL dəyişmir
2. Brend filtri seçilmiş qalır
3. Bütün kartların adı "Xiaomi" ehtiva edir</t>
  </si>
  <si>
    <t>TC_PLP_POS_015</t>
  </si>
  <si>
    <t>Son səhifədə "İrəli" düyməsi göstərilmir və ya deaktivdir</t>
  </si>
  <si>
    <t>Məhsul siyahısı → Son səhifə</t>
  </si>
  <si>
    <t>BVA</t>
  </si>
  <si>
    <t>1. Pagination-da son səhifə nömrəsinə klik et
2. "İrəli" düyməsinin vəziyyətini yoxla</t>
  </si>
  <si>
    <t>Səhifə: son (max)</t>
  </si>
  <si>
    <t>1. Son səhifədə ən azı 1 kart var
2. "İrəli" düyməsi yoxdur və ya deaktivdir</t>
  </si>
  <si>
    <t>TC_PLP_POS_016</t>
  </si>
  <si>
    <t>"Daha çox göstər" düyməsi əvvəlki kartları saxlayaraq əlavə kartlar yükləyir</t>
  </si>
  <si>
    <t>Məhsul siyahısı → Daha çox göstər</t>
  </si>
  <si>
    <t>1. Kart sayını qeyd et
2. "Daha çox göstər" düyməsinə klik et
3. Kart sayını və ilk kartı yoxla</t>
  </si>
  <si>
    <t>1. Kart sayı artır
2. İlk kart dəyişmir (əvvəlkilər silinmir)</t>
  </si>
  <si>
    <t>Lazy-load/async yükləmə; funksional olaraq pagination ilə əhatə olunur → manual.</t>
  </si>
  <si>
    <t>TC_PLP_POS_017</t>
  </si>
  <si>
    <t>"Endirimli" sürətli filtri tətbiq edildikdə yalnız endirimli məhsullar göstərilir</t>
  </si>
  <si>
    <t>Məhsul siyahısı → Endirimli filtri</t>
  </si>
  <si>
    <t>1. Filtrlər bölməsində "Endirimli" seçimini aktiv et
2. Siyahının yenilənməsini gözlə
3. İlk 20 kartı yoxla</t>
  </si>
  <si>
    <t>Filtr: Endirimli</t>
  </si>
  <si>
    <t>Hər kartda: endirim nişanı ("-X %") var VƏ köhnə qiymət &gt; yeni qiymət</t>
  </si>
  <si>
    <t>İnvariant yoxlaması (endirim nişanı + qiymət müqayisəsi); hardcode yoxdur → stabil, avtomatlaşdırılır.</t>
  </si>
  <si>
    <t>TC_PLP_POS_018</t>
  </si>
  <si>
    <t>"Endirimli" və brend filtri birlikdə tətbiq edildikdə hər iki şərtə uyğun məhsullar göstərilir</t>
  </si>
  <si>
    <t>1. "Endirimli" seçimini aktiv et
2. "Brend" bölməsindən brendi seç
3. Bütün kartları yoxla</t>
  </si>
  <si>
    <t>Filtr: Endirimli + Brend: Samsung</t>
  </si>
  <si>
    <t>Hər kart üçün: ad "Samsung" ehtiva edir VƏ endirim nişanı var; və ya nəticə yoxdursa boş nəticə mesajı göstərilir</t>
  </si>
  <si>
    <t>Decision Table halı; aşağı prioritetdir və TC_PLP_POS_009 kombinə filtri artıq avtomat əhatə edir → manual.</t>
  </si>
  <si>
    <t>TC_PLP_POS_019</t>
  </si>
  <si>
    <t>"Rəsmi satıcı" sürətli filtri yalnız rəsmi satıcıların məhsullarını göstərir</t>
  </si>
  <si>
    <t>Məhsul siyahısı → Rəsmi satıcı filtri</t>
  </si>
  <si>
    <t>1. "Rəsmi satıcı" seçimini aktiv et
2. İlk 5 kartın PDP-sini aç və satıcı məlumatını yoxla</t>
  </si>
  <si>
    <t>Filtr: Rəsmi satıcı</t>
  </si>
  <si>
    <t>Hər yoxlanılan məhsulun satıcısı "rəsmi satıcı" nişanı/statusu ilə göstərilir</t>
  </si>
  <si>
    <t>Rəsmi satıcı statusu kartda görünmür, hər PDP-ni açmaq tələb edir — yavaş və satıcı siyahısı dəyişkəndir → manual.</t>
  </si>
  <si>
    <t>TC_PLP_POS_020</t>
  </si>
  <si>
    <t>Xüsusiyyət filtri (Daxili yaddaş həcmi = 256 GB) tətbiq edildikdə uyğun məhsullar göstərilir</t>
  </si>
  <si>
    <t>Məhsul siyahısı → Xüsusiyyət filtri</t>
  </si>
  <si>
    <t>1. "Daxili yaddaş həcmi" bölməsini aç ("Hamısını göstər")
2. Dəyəri seç
3. İlk 5 kartın PDP-sində xüsusiyyətləri yoxla</t>
  </si>
  <si>
    <t>Daxili yaddaş: 256 GB</t>
  </si>
  <si>
    <t>Yoxlanılan hər məhsulun daxili yaddaşı 256 GB-dır</t>
  </si>
  <si>
    <t>Məhsul adları standart deyil ("256GB", "256 GB", adda olmaya bilər) — avtomat assertion flaky olar → manual.</t>
  </si>
  <si>
    <t>TC_PLP_POS_022</t>
  </si>
  <si>
    <t>Sıralama seçicisində 5 ümumi seçim göstərilir</t>
  </si>
  <si>
    <t>Məhsul siyahısı → Sıralama seçimləri</t>
  </si>
  <si>
    <t>1. Sıralama seçicisinə klik et
2. Seçimlərin siyahısını oxu</t>
  </si>
  <si>
    <t>Gözlənilən: Ən ucuz, Ən bahalı, Populyar, Yüksək reytinq, Ən böyük endirimli, Yeniliklər</t>
  </si>
  <si>
    <t>Sıralama dropdown-unda 5 seçim göstərilir (saytda təsdiqlənib; ilkin fərziyyə 6 idi)</t>
  </si>
  <si>
    <t>Seçimlər bütün kateqoriyalarda ortaqdır (təsdiqlənib); deterministik → avtomatlaşdırılır.</t>
  </si>
  <si>
    <t>Sıralama dropdown-unda 5 seçim göstərilir (ilkin fərziyyədə 6 idi — Expected Result saytın faktiki davranışına görə yeniləndi). PASS.</t>
  </si>
  <si>
    <t>TC_PLP_POS_023</t>
  </si>
  <si>
    <t>"Ən böyük endirimli" sıralandıqda endirim faizləri artmayan ardıcıllıqla göstərilir</t>
  </si>
  <si>
    <t>1. Sıralama seçicisindən "Ən böyük endirimli"-ni seç
2. Siyahının yenilənməsini gözlə
3. İlk 20 kartın endirim faizini ("-X %") oxu</t>
  </si>
  <si>
    <t>Sıralama: Ən böyük endirimli</t>
  </si>
  <si>
    <t>1. İlk kartda endirim nişanı var
2. Hər qonşu cüt üçün: endirim[i] ≥ endirim[i+1] (nişanı olmayan kartlar 0% sayılır və sonda gəlir)</t>
  </si>
  <si>
    <t>TC_PLP_POS_024</t>
  </si>
  <si>
    <t>"Ən ucuz" sıralama 2-ci səhifədə də davam edir</t>
  </si>
  <si>
    <t>Məhsul siyahısı → Sıralama + Pagination</t>
  </si>
  <si>
    <t>1. "Ən ucuz" sıralamanı seç
2. 1-ci səhifənin sonuncu kartının qiymətini oxu
3. 2-ci səhifəyə keç
4. URL-i və 2-ci səhifənin ilk kartının qiymətini oxu</t>
  </si>
  <si>
    <t>Sıralama: Ən ucuz
Səhifə: 2</t>
  </si>
  <si>
    <t>1. URL-də sıralama parametri saxlanılır
2. 2-ci səhifənin ilk qiyməti ≥ 1-ci səhifənin son qiyməti</t>
  </si>
  <si>
    <t>2-ci səhifədə "Ən ucuz" sıralaması saxlanılır, qiymətlər artan sıradadır. PASS.</t>
  </si>
  <si>
    <t>TC_PLP_POS_025</t>
  </si>
  <si>
    <t>Sıralama və brend filtri birlikdə tətbiq edildikdə hər iki şərt qorunur</t>
  </si>
  <si>
    <t>Məhsul siyahısı → Sıralama + Filtr</t>
  </si>
  <si>
    <t>1. "Brend" bölməsindən brendi seç
2. "Ən bahalı" sıralamanı seç
3. İlk 20 kartın adını və qiymətini oxu</t>
  </si>
  <si>
    <t>Brend: Samsung
Sıralama: Ən bahalı</t>
  </si>
  <si>
    <t>1. Hər kartın adı "Samsung" ehtiva edir
2. Hər qonşu cüt üçün qiymət[i] ≥ qiymət[i+1]
3. Sıralama seçildikdən sonra filtr ləğv olunmur</t>
  </si>
  <si>
    <t>Sıralama seçimi saytda təsdiqlənib; konkret qiymət yox, sıralama invariantı yoxlanılır → data dəyişsə də stabil, avtomatlaşdırılır. | Avtomatlaşdırma cəhdindən sonra Manual-a keçirildi: Brend filtri siyahısı dinamikdir, locator toplanmayıb.</t>
  </si>
  <si>
    <t>TC_PLP_POS_026</t>
  </si>
  <si>
    <t>"Yüksək reytinq" sıralamada reytinqi yüksək məhsullar əvvəldə göstərilir</t>
  </si>
  <si>
    <t>1. "Yüksək reytinq"-i seç
2. İlk 20 kartın reytinqini və rəy sayını oxu</t>
  </si>
  <si>
    <t>Sıralama: Yüksək reytinq</t>
  </si>
  <si>
    <t>Reytinqlər əsasən azalan sıradadır; reytinqi olmayan kartlar sonda gəlir (sıralama meyarı — GQ_UI_22)</t>
  </si>
  <si>
    <t>Sıralama yalnız reytinqə yox, rəy sayına da əsaslana bilər (meyar bilinmir) → sərt assertion flaky olar → manual.</t>
  </si>
  <si>
    <t>TC_PLP_POS_027</t>
  </si>
  <si>
    <t>"Yeniliklər" sıralamada "Yenilik" nişanlı məhsullar əvvəldə göstərilir</t>
  </si>
  <si>
    <t>1. "Yeniliklər"-i seç
2. İlk 10 kartda "Yenilik" nişanını yoxla</t>
  </si>
  <si>
    <t>Sıralama: Yeniliklər</t>
  </si>
  <si>
    <t>İlk kartlarda "Yenilik" nişanı var (əlavə olunma tarixinə görə sıralama — GQ_UI_22)</t>
  </si>
  <si>
    <t>Əlavə olunma tarixi UI-da görünmür, nişan hər məhsulda olmaya bilər → manual.</t>
  </si>
  <si>
    <t>TC_PLP_POS_028</t>
  </si>
  <si>
    <t>Kateqoriya açıldıqda default sıralama seçimi göstərilir</t>
  </si>
  <si>
    <t>Məhsul siyahısı → Default sıralama</t>
  </si>
  <si>
    <t>1. Sıralama seçicisində seçilmiş dəyəri oxu</t>
  </si>
  <si>
    <t>Default olaraq "Populyar" seçilib (GQ_UI_23)</t>
  </si>
  <si>
    <t>TC_PLP_POS_029</t>
  </si>
  <si>
    <t>Filtr paneli kateqoriyaya uyğun dəyişir, sıralama seçimləri isə eyni qalır</t>
  </si>
  <si>
    <t>Məhsul siyahısı → Kateqoriyaya görə filtrlər</t>
  </si>
  <si>
    <t>1. Filtr bölmələrinin adlarını qeyd et
2. "Məişət texnikası" kateqoriyasına keç
3. Filtr bölmələrini və sıralama seçimlərini müqayisə et</t>
  </si>
  <si>
    <t>Kateqoriya 1: Mobil telefonlar və smartfonlar
Kateqoriya 2: Məişət texnikası</t>
  </si>
  <si>
    <t>1. Telefonlara xas filtrlər (məs. "Əməliyyat sistemi", "SİM kartların sayı") 2-ci kateqoriyada göstərilmir
2. "Qiyməti" və "Brend" hər iki kateqoriyada var
3. Sıralama seçimləri eynidir: Ən ucuz, Ən bahalı, Populyar, Yüksək reytinq, Ən böyük endirimli, Yeniliklər</t>
  </si>
  <si>
    <t>Filtr adları kateqoriyalar üzrə dinamikdir və tez-tez dəyişir → manual.</t>
  </si>
  <si>
    <t>TC_PLP_UI_021</t>
  </si>
  <si>
    <t>Filtr bölməsində "Hamısını göstər" linki bütün dəyərləri açır</t>
  </si>
  <si>
    <t>Məhsul siyahısı → Hamısını göstər</t>
  </si>
  <si>
    <t>1. "Brend" bölməsində görünən dəyər sayını qeyd et
2. "Hamısını göstər"-ə klik et
3. Dəyər sayını yenidən yoxla</t>
  </si>
  <si>
    <t>Bölmə: Brend</t>
  </si>
  <si>
    <t>Göstərilən brend sayı artır, əlavə brendlər görünür</t>
  </si>
  <si>
    <t>TC_PDP_NEG_005</t>
  </si>
  <si>
    <t>Mövcud olmayan məhsul URL-i açıldıqda 404 səhifəsi göstərilir</t>
  </si>
  <si>
    <t>Məhsul detalı → Yanlış URL</t>
  </si>
  <si>
    <t>URL: https://birmarket.az/product/999999999-movcud-olmayan-mehsul</t>
  </si>
  <si>
    <t>Davranış saytda təsdiqlənib; deterministik nəticə, SMS/login tələb etmir → avtomatlaşdırılır.</t>
  </si>
  <si>
    <t>TC_PDP_NEG_012</t>
  </si>
  <si>
    <t>Guest istifadəçi məhsula rəy yazmağa cəhd etdikdə giriş tələb olunur</t>
  </si>
  <si>
    <t>Məhsul detalı → Rəy (Guest)</t>
  </si>
  <si>
    <t>1. Rəylər bölməsinə keç
2. "Rəy yaz" düyməsinə klik et</t>
  </si>
  <si>
    <t>Giriş ekranı açılır və ya rəy yazmaq üçün login tələb olunduğu bildirilir (GQ_UI_19)</t>
  </si>
  <si>
    <t>TC_PDP_POS_001</t>
  </si>
  <si>
    <t>Məhsul kartından açılan PDP-də ad və qiymət kartdakı ilə eynidir</t>
  </si>
  <si>
    <t>Məhsul detalı → Kartdan keçid</t>
  </si>
  <si>
    <t>1. İlk məhsul kartının adını və qiymətini qeyd et
2. Karta klik et
3. PDP-də məhsul adını və qiymətini oxu</t>
  </si>
  <si>
    <t>Məhsul seçim qaydası: kateqoriyada stokda olan ilk məhsul kartı (qiymət/ad hardcode edilmir)</t>
  </si>
  <si>
    <t>1. URL "/product/" ehtiva edir
2. PDP-dəki ad = kartdakı ad
3. PDP-dəki qiymət = kartdakı qiymət</t>
  </si>
  <si>
    <t>Dəyərlər bir-biri ilə müqayisə olunur (hardcode yoxdur); kart↔PDP uyğunsuzluğu kritik biznes bug-dır → avtomatlaşdırılır.</t>
  </si>
  <si>
    <t>Kartdakı ad və qiymət PDP-dəki ilə eynidir (məs. "Yağ qızdırıcısı Hausberg PH9865", 169.88 ₼). PASS.</t>
  </si>
  <si>
    <t>TC_PDP_POS_002</t>
  </si>
  <si>
    <t>PDP-də əsas elementlər göstərilir və qiymət formatı düzgündür</t>
  </si>
  <si>
    <t>Məhsul detalı → Elementlər</t>
  </si>
  <si>
    <t>1. Brauzer: Google Chrome (son stabil versiya), incognito rejim (cookies/cache təmizdir)
2. İstifadəçi login olmayıb (Guest)
3. Dil: AZ, Şəhər: Bakı (default)
4. Kateqoriya səhifəsi açıqdır: https://birmarket.az/categories/2-telefonlar-ve-aksessuarlar
5. Məhsul seçim qaydası: kateqoriyada stokda olan ilk məhsul kartı (qiymət/ad hardcode edilmir) — PDP açılıb</t>
  </si>
  <si>
    <t>1. Məhsul şəklini yoxla
2. Məhsul adını yoxla
3. Qiyməti və formatını yoxla
4. "Səbətə əlavə et" düyməsini yoxla</t>
  </si>
  <si>
    <t>Qiymət formatı regex: ^\d+(\.\d{2})? ₼$</t>
  </si>
  <si>
    <t>1. Əsas məhsul şəkli yüklənib (boş/sınıq deyil)
2. Ad boş deyil
3. Qiymət iki onluq rəqəm və "₼" ilə göstərilir
4. "Səbətə əlavə et" düyməsi görünür və aktivdir</t>
  </si>
  <si>
    <t>TC_PDP_POS_004</t>
  </si>
  <si>
    <t>PDP-də kredit seçimində 6/12/18/24 ay müddətləri təklif olunur və hər biri üçün aylıq məbləğ göstərilir</t>
  </si>
  <si>
    <t>Məhsul detalı → Taksit hesablaması</t>
  </si>
  <si>
    <t>1. Brauzer: Google Chrome (son stabil versiya), incognito rejim (cookies/cache təmizdir)
2. İstifadəçi login olmayıb (Guest)
3. Dil: AZ, Şəhər: Bakı (default)
4. Kateqoriya səhifəsi açıqdır: https://birmarket.az/categories/2-telefonlar-ve-aksessuarlar
5. Taksit seçimi olan məhsulun PDP-si açıqdır</t>
  </si>
  <si>
    <t>1. Məhsul qiymətini oxu
2. Kreditlə alma seçiminə klik et
3. Təklif olunan müddətləri oxu
4. Hər müddəti ardıcıl seç və aylıq məbləği qeyd et</t>
  </si>
  <si>
    <t>Müddətlər: 6, 12, 18, 24 ay</t>
  </si>
  <si>
    <t>1. Dəqiq 4 müddət təklif olunur: 6, 12, 18, 24 ay
2. Hər müddət seçildikdə aylıq məbləğ yenilənir
3. Aylıq məbləğ "₼" ilə, 2 onluq rəqəmlə göstərilir
(Dəqiq faiz/formula — GQ_UI_10)</t>
  </si>
  <si>
    <t>TC_PDP_POS_006</t>
  </si>
  <si>
    <t>Stokda olmayan məhsulun PDP-sində səbətə əlavə etmək mümkün deyil</t>
  </si>
  <si>
    <t>Məhsul detalı → Stokda yoxdur</t>
  </si>
  <si>
    <t>1. Brauzer: Google Chrome (son stabil versiya), incognito rejim (cookies/cache təmizdir)
2. İstifadəçi login olmayıb (Guest)
3. Dil: AZ, Şəhər: Bakı (default)
4. Stokda olmayan məhsulun PDP-si açıqdır (manual tapılır)</t>
  </si>
  <si>
    <t>1. Stok məlumatını yoxla
2. "Səbətə əlavə et" düyməsinin vəziyyətini yoxla</t>
  </si>
  <si>
    <t>1. "Stokda yoxdur" tipli məlumat göstərilir
2. "Səbətə əlavə et" düyməsi yoxdur və ya deaktivdir</t>
  </si>
  <si>
    <t>TC_PDP_POS_007</t>
  </si>
  <si>
    <t>Məhsul variantı (rəng/yaddaş) dəyişdirildikdə qiymət və məlumatlar yenilənir</t>
  </si>
  <si>
    <t>Məhsul detalı → Variant seçimi</t>
  </si>
  <si>
    <t>1. Brauzer: Google Chrome (son stabil versiya), incognito rejim (cookies/cache təmizdir)
2. İstifadəçi login olmayıb (Guest)
3. Dil: AZ, Şəhər: Bakı (default)
4. Bir neçə variantı olan smartfonun PDP-si açıqdır</t>
  </si>
  <si>
    <t>1. Cari qiyməti və variantı qeyd et
2. Fərqli yaddaş variantını seç
3. Qiyməti, adı və URL-i yoxla</t>
  </si>
  <si>
    <t>Variant: fərqli yaddaş həcmi</t>
  </si>
  <si>
    <t>1. Seçilmiş variant aktiv göstərilir
2. Ad/URL yeni variantı əks etdirir
3. Qiymət seçilmiş variantın qiymətidir</t>
  </si>
  <si>
    <t>TC_PDP_POS_008</t>
  </si>
  <si>
    <t>PDP-də məhsulun satıcısının adı göstərilir</t>
  </si>
  <si>
    <t>Məhsul detalı → Satıcı</t>
  </si>
  <si>
    <t>1. PDP-də satıcı bölməsini tap
2. Satıcı adını oxu</t>
  </si>
  <si>
    <t>1. Satıcı adı boş deyil
2. Satıcı adı mətn kimi göstərilir (link deyil)</t>
  </si>
  <si>
    <t>Məlumat xarakterli, aşağı riskli element → manual.</t>
  </si>
  <si>
    <t>TC_PDP_POS_009</t>
  </si>
  <si>
    <t>PDP-də çatdırılma tarixi/müddəti barədə məlumat göstərilir</t>
  </si>
  <si>
    <t>Məhsul detalı → Çatdırılma məlumatı</t>
  </si>
  <si>
    <t>1. Çatdırılma bölməsini tap
2. Məlumatı oxu</t>
  </si>
  <si>
    <t>Çatdırılma tarixi və ya müddəti (məs. "Sabah") göstərilir</t>
  </si>
  <si>
    <t>TC_PDP_POS_010</t>
  </si>
  <si>
    <t>Məhsul səbətə əlavə edildikdən sonra PDP-də düymə "səbətdə" vəziyyətinə keçir</t>
  </si>
  <si>
    <t>Məhsul detalı → Düymə vəziyyəti</t>
  </si>
  <si>
    <t>1. Brauzer: Google Chrome (son stabil versiya), incognito rejim (cookies/cache təmizdir)
2. İstifadəçi login olmayıb (Guest)
3. Dil: AZ, Şəhər: Bakı (default)
4. Səbət boşdur (header-də səbət sayğacı göstərilmir)
5. Məhsul seçim qaydası: kateqoriyada stokda olan ilk məhsul kartı (qiymət/ad hardcode edilmir) — PDP açıqdır</t>
  </si>
  <si>
    <t>1. "Səbətə əlavə et" düyməsinə klik et
2. Düymənin yeni vəziyyətini yoxla
3. Səhifəni yenilə, düyməni yenidən yoxla</t>
  </si>
  <si>
    <t>1. Düymə yaşıl rəngdə "Səbətdə" mətni ilə göstərilir
2. Səhifə yeniləndikdən sonra da "Səbətdə" vəziyyəti qalır</t>
  </si>
  <si>
    <t>Regression-a daxildir, hər release-də təkrarlanır; nəticə data-dan asılı olmayan invariantla yoxlanır (hardcode qiymət/ad yoxdur); xarici asılılıq yoxdur → avtomatlaşdırılır. | Avtomatlaşdırılıb və 06.10.2026-da PASS olub, lakin təkrar full run-larda flaky çıxdı: production-da "Səbətə əlavə et" server tərəfində qonaq səbəti yaradır, ardıcıl run-larda nəticə deterministik deyil (rate-limit). Flaky test qəbul olunmadığı üçün Manual regression-a keçirildi (K2, K6).</t>
  </si>
  <si>
    <t>Səbətə əlavədən sonra header səbət sayğacı "1" oldu, PDP düyməsi "Səbətə keçmək" vəziyyətinə keçdi. — Avtomat run-da PASS (06.10.2026); təkrar run-larda flaky olduğu üçün Manual regression-a keçirildi.</t>
  </si>
  <si>
    <t>Avtomat → Manual regression</t>
  </si>
  <si>
    <t>TC_PDP_POS_011</t>
  </si>
  <si>
    <t>PDP breadcrumb-u məhsulun kateqoriyasını göstərir və kateqoriyaya keçid verir</t>
  </si>
  <si>
    <t>Məhsul detalı → Breadcrumb</t>
  </si>
  <si>
    <t>1. Breadcrumb-u oxu
2. Sonuncu kateqoriya linkinə klik et</t>
  </si>
  <si>
    <t>1. Breadcrumb məhsulun aid olduğu kateqoriyanı göstərir
2. Klik həmin kateqoriya səhifəsini açır</t>
  </si>
  <si>
    <t>TC_PDP_POS_015</t>
  </si>
  <si>
    <t>Kredit müddəti artdıqca aylıq ödəniş azalır</t>
  </si>
  <si>
    <t>Məhsul detalı → Kredit hesablaması</t>
  </si>
  <si>
    <t>1. Brauzer: Google Chrome (son stabil versiya), incognito rejim (cookies/cache təmizdir)
2. İstifadəçi login olmayıb (Guest)
3. Dil: AZ, Şəhər: Bakı (default)
4. Kateqoriya səhifəsi açıqdır: https://birmarket.az/categories/2-telefonlar-ve-aksessuarlar
5. Kredit seçimi olan məhsulun PDP-si açıqdır</t>
  </si>
  <si>
    <t>1. Kreditlə alma seçiminə klik et
2. 6, 12, 18, 24 ay müddətlərini ardıcıl seç və aylıq məbləği qeyd et
3. Məbləğləri müqayisə et</t>
  </si>
  <si>
    <t>aylıq(6) &gt; aylıq(12) &gt; aylıq(18) &gt; aylıq(24)</t>
  </si>
  <si>
    <t>Biznes məntiqi invariantı (konkret faiz bilinmədən yoxlanılır); dəyərlər UI-dan oxunur → stabil, avtomatlaşdırılır.</t>
  </si>
  <si>
    <t>6 ay: 30.28 ₼ x 6, 24 ay: 8.71 ₼ x 24 — müddət artdıqca aylıq ödəniş azalır. PASS.</t>
  </si>
  <si>
    <t>TC_PDP_POS_016</t>
  </si>
  <si>
    <t>Hər kredit müddəti üçün ümumi ödəniş (aylıq × ay) məhsul qiymətindən az deyil</t>
  </si>
  <si>
    <t>1. Məhsul qiymətini oxu
2. Hər müddət üçün aylıq məbləği oxu
3. aylıq × ay hasilini hesabla və qiymətlə müqayisə et</t>
  </si>
  <si>
    <t>Hər müddət üçün: aylıq × ay ≥ qiymət − 0.01 ₼ (yuvarlaqlaşdırma toleransı)</t>
  </si>
  <si>
    <t>Pul hesablamasında məntiqi invariant; faizdən asılı olmadan doğrudur → stabil, avtomatlaşdırılır. | Avtomatlaşdırma cəhdindən sonra Manual-a keçirildi: Kredit faizi/yuvarlaqlaşdırma dəyişkəndir; əsas yoxlama TC_PDP_POS_015 ilə avtomatdır.</t>
  </si>
  <si>
    <t>TC_PDP_UI_003</t>
  </si>
  <si>
    <t>PDP şəkil qalereyasında kiçik şəkilə klik əsas şəkli dəyişir</t>
  </si>
  <si>
    <t>Məhsul detalı → Şəkil qalereyası</t>
  </si>
  <si>
    <t>1. Brauzer: Google Chrome (son stabil versiya), incognito rejim (cookies/cache təmizdir)
2. İstifadəçi login olmayıb (Guest)
3. Dil: AZ, Şəhər: Bakı (default)
4. Kateqoriya səhifəsi açıqdır: https://birmarket.az/categories/2-telefonlar-ve-aksessuarlar
5. Ən azı 2 şəkli olan məhsulun PDP-si açıqdır</t>
  </si>
  <si>
    <t>1. 2-ci kiçik şəkilə (thumbnail) klik et
2. Əsas şəkli müşahidə et
3. Əsas şəkilə klik et</t>
  </si>
  <si>
    <t>1. Əsas şəkil seçilmiş thumbnail ilə əvəz olunur
2. Əsas şəkilə klik böyüdülmüş görüntü açır</t>
  </si>
  <si>
    <t>TC_PDP_NEG_014</t>
  </si>
  <si>
    <t>[Login] Məhsulu almamış istifadəçi həmin məhsula rəy yaza bilmir</t>
  </si>
  <si>
    <t>Məhsul detalı (Login) → Rəy</t>
  </si>
  <si>
    <t>1. Brauzer: Google Chrome (son stabil versiya)
2. Test hesabı Birmarket-də qeydiyyatdadır, telefon nömrəsi SMS qəbul edir (test icraçısının əlindədir)
3. İstifadəçi həmin hesabla login olub (header-də "Şəxsi hesabım" görünür)
4. Hesab heç vaxt almadığı məhsulun PDP-si açıqdır</t>
  </si>
  <si>
    <t>Rəy yazmaq yalnız çatdırılmış məhsullar üçün mümkündür: "Rəy yazmaq" tabında yalnız çatdırılmış məhsullar siyahılanır, alınmamış məhsul üçün rəy forması açılmır</t>
  </si>
  <si>
    <t>"Rəy yazmaq" tabında "Çatdırılmış məhsul yoxdur" — alınmamış məhsula rəy yazmaq mümkün deyil (GQ_UI_19). PASS.</t>
  </si>
  <si>
    <t>TC_PDP_POS_013</t>
  </si>
  <si>
    <t>[Login] PDP-dən məhsul seçilmişlərə əlavə edildikdə ikon aktivləşir</t>
  </si>
  <si>
    <t>Məhsul detalı (Login) → Seçilmişlər</t>
  </si>
  <si>
    <t>1. Brauzer: Google Chrome (son stabil versiya)
2. Test hesabı Birmarket-də qeydiyyatdadır, telefon nömrəsi SMS qəbul edir (test icraçısının əlindədir)
3. İstifadəçi həmin hesabla login olub (header-də "Şəxsi hesabım" görünür)
4. Seçilmişlər boşdur
5. Məhsul seçim qaydası: kateqoriyada stokda olan ilk məhsul kartı (qiymət/ad hardcode edilmir) — PDP açıqdır</t>
  </si>
  <si>
    <t>1. PDP-dəki ürək ikonuna klik et
2. İkonun vəziyyətini yoxla
3. Seçilmişlər səhifəsini aç</t>
  </si>
  <si>
    <t>1. İkon aktiv (doldurulmuş) olur
2. Məhsul Seçilmişlər səhifəsində görünür</t>
  </si>
  <si>
    <t>TC_CART_BVA_004</t>
  </si>
  <si>
    <t>Miqdar minimum sərhəddə (1) olduqda "−" düyməsi miqdarı 0-a endirmir</t>
  </si>
  <si>
    <t>Səbət (Guest) → Miqdar alt sərhədi</t>
  </si>
  <si>
    <t>1. Brauzer: Google Chrome (son stabil versiya), incognito rejim (cookies/cache təmizdir)
2. İstifadəçi login olmayıb (Guest)
3. Dil: AZ, Şəhər: Bakı (default)
4. Səbət boşdur (header-də səbət sayğacı göstərilmir)
5. Səbətdə 1 məhsul var (miqdar = 1), səbət səhifəsi açıqdır</t>
  </si>
  <si>
    <t>1. "−" düyməsinin vəziyyətini yoxla
2. "−" düyməsinə klik et
3. Miqdarı oxu</t>
  </si>
  <si>
    <t>Miqdar: 1 (min) → cəhd: 0 (min−1)</t>
  </si>
  <si>
    <t>1. "−" düyməsi deaktivdir (klik edilə bilmir)
2. Miqdar 1 olaraq qalır (0 və ya mənfi dəyər göstərilmir)</t>
  </si>
  <si>
    <t>Davranış saytda təsdiqlənib (GQ cavablanıb); deterministik nəticə, SMS/login tələb etmir → avtomatlaşdırılır. | Avtomatlaşdırılıb və 06.10.2026-da PASS olub, lakin təkrar full run-larda flaky çıxdı: production-da "Səbətə əlavə et" server tərəfində qonaq səbəti yaradır, ardıcıl run-larda nəticə deterministik deyil (rate-limit). Flaky test qəbul olunmadığı üçün Manual regression-a keçirildi (K2, K6).</t>
  </si>
  <si>
    <t>Gözlənilən nəticə ilə üst-üstə düşür. Gauge avtomat run (Chrome 154, guest): — Avtomat run-da PASS (06.10.2026); təkrar run-larda flaky olduğu üçün Manual regression-a keçirildi.</t>
  </si>
  <si>
    <t>TC_CART_BVA_005</t>
  </si>
  <si>
    <t>Stokda 1 ədəd qalan məhsul üçün səbətdə miqdar dəyişdirilə bilmir</t>
  </si>
  <si>
    <t>Səbət (Guest) → Miqdar üst sərhədi</t>
  </si>
  <si>
    <t>1. Brauzer: Google Chrome (son stabil versiya), incognito rejim (cookies/cache təmizdir)
2. İstifadəçi login olmayıb (Guest)
3. Dil: AZ, Şəhər: Bakı (default)
4. Səbət boşdur (header-də səbət sayğacı göstərilmir)
5. Stokda yalnız 1 ədəd qalan məhsul səbətdədir (manual tapılır)</t>
  </si>
  <si>
    <t>1. "+" düyməsinin vəziyyətini yoxla və klik et
2. "−" düyməsinin vəziyyətini yoxla və klik et
3. Miqdarı oxu</t>
  </si>
  <si>
    <t>Stok: 1 (min = max = 1)</t>
  </si>
  <si>
    <t>1. "+" və "−" düymələri deaktivdir
2. Miqdar 1 olaraq qalır</t>
  </si>
  <si>
    <t>Davranış təsdiqlənib, amma stoku 1 olan məhsul prod-da dinamikdir (satıla bilər) → avtomatlaşdırma flaky olar → manual.</t>
  </si>
  <si>
    <t>Stokda 1 ədəd qalan məhsulda ("1 əd qalıb") "+" və "−" deaktivdir, miqdar 1 qalır (GQ_UI_06). PASS.</t>
  </si>
  <si>
    <t>TC_CART_NEG_012</t>
  </si>
  <si>
    <t>Səbətdə miqdar sahəsinə əl ilə 0 daxil edildikdə qəbul edilmir</t>
  </si>
  <si>
    <t>Səbət (Guest) → Miqdar daxiletmə</t>
  </si>
  <si>
    <t>1. Brauzer: Google Chrome (son stabil versiya), incognito rejim (cookies/cache təmizdir)
2. İstifadəçi login olmayıb (Guest)
3. Dil: AZ, Şəhər: Bakı (default)
4. Səbət boşdur (header-də səbət sayğacı göstərilmir)
5. Səbətdə 1 məhsul var</t>
  </si>
  <si>
    <t>1. Miqdar sahəsinə klik et (redaktə olunursa)
2. Dəyəri sil və test datanı yaz
3. Sahədən çıx</t>
  </si>
  <si>
    <t>Miqdar: 0</t>
  </si>
  <si>
    <t>Miqdar 0 qəbul edilmir: dəyər 1-ə qaytarılır və ya silmə təsdiqi soruşulur (GQ_UI_05)</t>
  </si>
  <si>
    <t>TC_CART_NEG_019</t>
  </si>
  <si>
    <t>Silmə təsdiq pəncərəsi heç bir düymə seçilmədən bağlandıqda məhsul səbətdə qalır</t>
  </si>
  <si>
    <t>Səbət (Guest) → Silmənin ləğvi</t>
  </si>
  <si>
    <t>1. Brauzer: Google Chrome (son stabil versiya), incognito rejim (cookies/cache təmizdir)
2. İstifadəçi login olmayıb (Guest)
3. Dil: AZ, Şəhər: Bakı (default)
4. Səbət boşdur (header-də səbət sayğacı göstərilmir)
5. Səbətdə 1 məhsul var, səbət səhifəsi açıqdır</t>
  </si>
  <si>
    <t>1. "Sil" ikonuna klik et
2. Təsdiq pəncərəsini "X" ilə (və ya pəncərədən kənara klik edərək) bağla
3. Səbəti yoxla</t>
  </si>
  <si>
    <t>1. Pəncərə bağlanır
2. Məhsul səbətdə qalır, miqdar dəyişmir
3. Sayğac = 1</t>
  </si>
  <si>
    <t>TC_CART_POS_001</t>
  </si>
  <si>
    <t>Guest PDP-dən məhsulu səbətə əlavə etdikdə səbət sayğacı 1 olur və məhsul səbətdə düzgün göstərilir</t>
  </si>
  <si>
    <t>Səbət (Guest) → Əlavə etmə</t>
  </si>
  <si>
    <t>1. PDP-də məhsul adını və qiymətini qeyd et
2. "Səbətə əlavə et" düyməsinə klik et
3. Header-dəki səbət sayğacını yoxla
4. Səbət ikonuna klik et
5. Səbətdəki məhsulu yoxla</t>
  </si>
  <si>
    <t>1. PDP-də düymə yaşıl rəngdə "Səbətdə" vəziyyətinə keçir
2. Səbət sayğacı = 1
3. Səbətdə 1 sətir var
4. Sətirdəki ad = PDP-dəki ad
5. Sətirdəki vahid qiymət = PDP-dəki qiymət
6. Miqdar = 1</t>
  </si>
  <si>
    <t>Satışın əsas axını; dəyərlər PDP ilə müqayisə olunur (hardcode yoxdur); hər test yeni sessiya ilə müstəqil → avtomatlaşdırılır. | Avtomatlaşdırılıb və 06.10.2026-da PASS olub, lakin təkrar full run-larda flaky çıxdı: production-da "Səbətə əlavə et" server tərəfində qonaq səbəti yaradır, ardıcıl run-larda nəticə deterministik deyil (rate-limit). Flaky test qəbul olunmadığı üçün Manual regression-a keçirildi (K2, K6).</t>
  </si>
  <si>
    <t>Test məhsulu (Ardesto OFH-09X1) səbətə əlavə olundu: header sayğacı 1, səbətdə 1 məhsul, ad PDP ilə eynidir, "Səbətinizdə 1 məhsul var". — Avtomat run-da PASS (06.10.2026); təkrar run-larda flaky olduğu üçün Manual regression-a keçirildi.</t>
  </si>
  <si>
    <t>TC_CART_POS_002</t>
  </si>
  <si>
    <t>Səbətdə miqdar "+" ilə 2-yə artırıldıqda məbləğ vahid qiymət × 2 olur</t>
  </si>
  <si>
    <t>Səbət (Guest) → Miqdar artırma</t>
  </si>
  <si>
    <t>1. Vahid qiyməti oxu
2. "+" düyməsinə 1 dəfə klik et
3. Miqdarı oxu
4. Sətir məbləğini və ümumi məbləği oxu</t>
  </si>
  <si>
    <t>Miqdar: 1 → 2</t>
  </si>
  <si>
    <t>1. Miqdar = 2
2. Sətir məbləği = vahid qiymət × 2
3. Ümumi məbləğ = vahid qiymət × 2
4. Header səbət sayğacı yenilənir</t>
  </si>
  <si>
    <t>Hesablama məntiqi — pul ilə bağlı bug kritikdir; dəyərlər UI-dan hesablanır → stabil, avtomatlaşdırılır. | Avtomatlaşdırma cəhdindən sonra Manual-a keçirildi: Prod stok miqdarından asılıdır (stok=1 olduqda +/− deaktiv).</t>
  </si>
  <si>
    <t>Test datası: ilkin məhsulda (Ardesto OFH-09X1) stok 1 olduğu üçün "+" deaktiv idi, stoku olan başqa məhsul götürüldü (Nose Parfum Hayati 100 ml). Vahid qiymət 123.00 ₼; "+" → miqdar 2, Ümumi qiymət 246.00 ₼ (=123×2), taksit 6.84→13.67 ₼, header səbət sayğacı yeniləndi. PASS.</t>
  </si>
  <si>
    <t>TC_CART_POS_003</t>
  </si>
  <si>
    <t>Səbətdə miqdar "−" ilə 2-dən 1-ə azaldıldıqda məbləğ vahid qiymətə bərabər olur</t>
  </si>
  <si>
    <t>Səbət (Guest) → Miqdar azaltma</t>
  </si>
  <si>
    <t>1. Brauzer: Google Chrome (son stabil versiya), incognito rejim (cookies/cache təmizdir)
2. İstifadəçi login olmayıb (Guest)
3. Dil: AZ, Şəhər: Bakı (default)
4. Səbət boşdur (header-də səbət sayğacı göstərilmir)
5. Səbətdə 1 məhsul var (miqdar = 2), səbət səhifəsi açıqdır</t>
  </si>
  <si>
    <t>1. Vahid qiyməti oxu
2. "−" düyməsinə 1 dəfə klik et
3. Miqdarı və ümumi məbləği oxu</t>
  </si>
  <si>
    <t>Miqdar: 2 → 1</t>
  </si>
  <si>
    <t>1. Miqdar = 1
2. Ümumi məbləğ = vahid qiymət</t>
  </si>
  <si>
    <t>Regression-a daxildir, hər release-də təkrarlanır; nəticə data-dan asılı olmayan invariantla yoxlanır (hardcode qiymət/ad yoxdur); xarici asılılıq yoxdur → avtomatlaşdırılır. | Avtomatlaşdırma cəhdindən sonra Manual-a keçirildi: Prod stok miqdarından asılıdır (stok=1 olduqda +/− deaktiv).</t>
  </si>
  <si>
    <t>TC_CART_POS_006</t>
  </si>
  <si>
    <t>Səbətdən yeganə məhsul silindikdə boş səbət vəziyyəti göstərilir</t>
  </si>
  <si>
    <t>Səbət (Guest) → Silmə</t>
  </si>
  <si>
    <t>1. Məhsul sətrindəki "Sil" ikonuna klik et
2. Açılan təsdiq pəncərəsinin mətnini oxu
3. Pəncərədə "Sil" düyməsinə klik et
4. Səbət səhifəsini və header sayğacını yoxla</t>
  </si>
  <si>
    <t>Gözlənilən təsdiq pəncərəsi:
Başlıq: "Əminsiniz?"
Mətn: "Məhsulu silmək istədiyinizdən əminsiniz? Məhsulu seçilmişlər siyahısına əlavə edə bilərsiniz"
Düymələr: "Seçilmişlər", "Sil"</t>
  </si>
  <si>
    <t>1. Təsdiq pəncərəsi gözlənilən başlıq, mətn və iki düymə ilə açılır
2. "Sil"-dən sonra səbətdə məhsul sətri qalmır
3. Boş səbət mesajı göstərilir: "Sizə lazım olan məhsulları tapmağınız üçün alış-verişə məhsul kataloquna keçərək başlayın"
4. Header səbət sayğacı göstərilmir və ya 0-dır</t>
  </si>
  <si>
    <t>"Əminsiniz?" modalında "Sil" basıldıqdan sonra "Səbət boşdur" göstərildi. — Avtomat run-da PASS (06.10.2026); təkrar run-larda flaky olduğu üçün Manual regression-a keçirildi.</t>
  </si>
  <si>
    <t>TC_CART_POS_007</t>
  </si>
  <si>
    <t>Səbətdə 2 fərqli məhsul olduqda ümumi məbləğ sətir məbləğlərinin cəminə bərabərdir</t>
  </si>
  <si>
    <t>Səbət (Guest) → Ümumi məbləğ</t>
  </si>
  <si>
    <t>1. Brauzer: Google Chrome (son stabil versiya), incognito rejim (cookies/cache təmizdir)
2. İstifadəçi login olmayıb (Guest)
3. Dil: AZ, Şəhər: Bakı (default)
4. Səbət boşdur (header-də səbət sayğacı göstərilmir)</t>
  </si>
  <si>
    <t>1. Kateqoriyadan 1-ci məhsulu səbətə əlavə et
2. Kateqoriyadan 2-ci məhsulu səbətə əlavə et
3. Səbət səhifəsini aç
4. Hər sətrin məbləğini və ümumi məbləği oxu</t>
  </si>
  <si>
    <t>Məhsul 1: kateqoriyada stokda olan 1-ci kart
Məhsul 2: kateqoriyada stokda olan 2-ci kart</t>
  </si>
  <si>
    <t>1. Səbətdə 2 sətir var, sayğac = 2
2. Ümumi məbləğ = sətir1 + sətir2 (0.01 ₼ dəqiqliklə)</t>
  </si>
  <si>
    <t>Pul hesablaması kritikdir; hesab UI dəyərlərindən aparılır (hardcode yoxdur) → avtomatlaşdırılır. | Avtomatlaşdırma cəhdindən sonra Manual-a keçirildi: 2 fərqli məhsulun eyni anda stokda olması zəmanətli deyil.</t>
  </si>
  <si>
    <t>Səbətdə 3 fərqli məhsul (4 ədəd): 246.00 + 25.37 + 17.60 = 288.97 ₼ = "Sifarişin məbləği (4 məhsul): 288.97 ₼". İcra login vəziyyətində aparılıb (hesablama məntiqi guest ilə eynidir). PASS.</t>
  </si>
  <si>
    <t>TC_CART_POS_008</t>
  </si>
  <si>
    <t>Guest səbəti səhifə yeniləndikdən sonra saxlanılır</t>
  </si>
  <si>
    <t>Səbət (Guest) → Persistence</t>
  </si>
  <si>
    <t>1. Səbətdəki məhsulun adını qeyd et
2. Səhifəni yenilə (F5)
3. Səbət səhifəsini və sayğacı yoxla</t>
  </si>
  <si>
    <t>1. Səbət sayğacı = 1
2. Səbətdə eyni adlı məhsul göstərilir</t>
  </si>
  <si>
    <t>TC_CART_POS_009</t>
  </si>
  <si>
    <t>Səbətdəki məhsul yenidən əlavə edilməyə cəhd edildikdə ayrıca sətir yaranmır</t>
  </si>
  <si>
    <t>Səbət (Guest) → Təkrar əlavə</t>
  </si>
  <si>
    <t>1. "Səbətə əlavə et" düyməsinə klik et
2. Düymənin "Səbətdə" vəziyyətinə keçdiyini yoxla
3. "Səbətdə" düyməsinə klik et
4. Səbət səhifəsini aç</t>
  </si>
  <si>
    <t>1. "Səbətdə" düyməsinə klik səbət səhifəsini (/cart) açır
2. Səbətdə yalnız 1 sətir var, miqdar = 1
3. Sayğac 1-dən artıq olmur (təkrar əlavə baş vermir)</t>
  </si>
  <si>
    <t>Regression-a daxildir, hər release-də təkrarlanır; nəticə data-dan asılı olmayan invariantla yoxlanır (hardcode qiymət/ad yoxdur); xarici asılılıq yoxdur → avtomatlaşdırılır. | Avtomatlaşdırma cəhdindən sonra Manual-a keçirildi: Təkrar klik "Səbətə keçmək" düyməsinə düşür və səhifəni dəyişir.</t>
  </si>
  <si>
    <t>TC_CART_POS_011</t>
  </si>
  <si>
    <t>Boş səbət səhifəsi birbaşa açıldıqda boş vəziyyət göstərilir</t>
  </si>
  <si>
    <t>Səbət (Guest) → Boş səbət</t>
  </si>
  <si>
    <t>1. Brauzerdə səbət URL-ni aç
2. Səhifəni müşahidə et</t>
  </si>
  <si>
    <t>URL: https://birmarket.az/cart</t>
  </si>
  <si>
    <t>1. Boş səbət mesajı göstərilir: "Sizə lazım olan məhsulları tapmağınız üçün alış-verişə məhsul kataloquna keçərək başlayın"
2. "Mənim sifarişlərim" və "Məhsul kataloqu" düymələri göstərilir
3. "Məhsul kataloqu" düyməsi kataloqu açır
4. "Sifarişi rəsmiləşdir" düyməsi göstərilmir</t>
  </si>
  <si>
    <t>TC_CART_POS_013</t>
  </si>
  <si>
    <t>Səbət dəyişikliyi eyni brauzerin başqa tabında yenilənmədən sonra görünür</t>
  </si>
  <si>
    <t>Səbət (Guest) → Tablar arası sinxronizasiya</t>
  </si>
  <si>
    <t>1. Brauzer: Google Chrome (son stabil versiya), incognito rejim (cookies/cache təmizdir)
2. İstifadəçi login olmayıb (Guest)
3. Dil: AZ, Şəhər: Bakı (default)
4. Səbət boşdur (header-də səbət sayğacı göstərilmir)
5. Saytda 2 tab açıqdır (Tab A, Tab B)</t>
  </si>
  <si>
    <t>1. Tab A-da məhsulu səbətə əlavə et
2. Tab B-yə keç və səhifəni yenilə
3. Tab B-də səbət sayğacını yoxla</t>
  </si>
  <si>
    <t>Tab B-də səbət sayğacı = 1</t>
  </si>
  <si>
    <t>TC_CART_POS_014</t>
  </si>
  <si>
    <t>Fərqli satıcıların məhsulları səbətdə satıcıya görə ayrıca göstərilir</t>
  </si>
  <si>
    <t>Səbət (Guest) → Satıcı qrupları</t>
  </si>
  <si>
    <t>1. Brauzer: Google Chrome (son stabil versiya), incognito rejim (cookies/cache təmizdir)
2. İstifadəçi login olmayıb (Guest)
3. Dil: AZ, Şəhər: Bakı (default)
4. Səbət boşdur (header-də səbət sayğacı göstərilmir)
5. Fərqli satıcılara aid 2 məhsul səbətə əlavə edilib</t>
  </si>
  <si>
    <t>1. Səbət səhifəsini aç
2. Məhsulların satıcı məlumatını yoxla</t>
  </si>
  <si>
    <t>Məhsul 1: satıcı A
Məhsul 2: satıcı B</t>
  </si>
  <si>
    <t>Hər məhsulun yanında öz satıcısı göstərilir; məhsullar satıcıya görə qruplaşdırılır (saytın sifariş qaydasına uyğun)</t>
  </si>
  <si>
    <t>TC_CART_POS_018</t>
  </si>
  <si>
    <t>Silmə təsdiq pəncərəsində "Seçilmişlər" seçildikdə məhsul səbətdən çıxıb seçilmişlərə köçürülür</t>
  </si>
  <si>
    <t>Səbət (Guest) → Seçilmişlərə köçürmə</t>
  </si>
  <si>
    <t>1. Brauzer: Google Chrome (son stabil versiya), incognito rejim (cookies/cache təmizdir)
2. İstifadəçi login olmayıb (Guest)
3. Dil: AZ, Şəhər: Bakı (default)
4. Səbət boşdur (header-də səbət sayğacı göstərilmir)
5. Seçilmişlər boşdur
6. Səbətdə 1 məhsul var, səbət səhifəsi açıqdır</t>
  </si>
  <si>
    <t>1. Məhsulun adını qeyd et
2. "Sil" ikonuna klik et
3. Təsdiq pəncərəsində "Seçilmişlər" düyməsinə klik et
4. Səbəti yoxla
5. Seçilmişlər səhifəsini aç</t>
  </si>
  <si>
    <t>Təsdiq pəncərəsi:
Başlıq: "Əminsiniz?"
Mətn: "Məhsulu silmək istədiyinizdən əminsiniz? Məhsulu seçilmişlər siyahısına əlavə edə bilərsiniz"
Düymələr: "Seçilmişlər", "Sil"</t>
  </si>
  <si>
    <t>1. Məhsul səbətdən silinir, boş səbət mesajı göstərilir
2. Həmin məhsul Seçilmişlər səhifəsində göstərilir</t>
  </si>
  <si>
    <t>Səbət və seçilmişlər arasında data ötürülməsi — inteqrasiya riski; guest üçün login tələb etmir, davranış təsdiqlənib → avtomatlaşdırılır. | Avtomatlaşdırılıb və 06.10.2026-da PASS olub, lakin təkrar full run-larda flaky çıxdı: production-da "Səbətə əlavə et" server tərəfində qonaq səbəti yaradır, ardıcıl run-larda nəticə deterministik deyil (rate-limit). Flaky test qəbul olunmadığı üçün Manual regression-a keçirildi (K2, K6).</t>
  </si>
  <si>
    <t>Modalda "Seçilmişlər" basıldı: səbət boşaldı, header seçilmişlər sayğacı 1 oldu. — Avtomat run-da PASS (06.10.2026); təkrar run-larda flaky olduğu üçün Manual regression-a keçirildi.</t>
  </si>
  <si>
    <t>TC_CART_POS_010</t>
  </si>
  <si>
    <t>Guest kimi səbətə əlavə edilmiş məhsul login olduqdan sonra səbətdə qalır</t>
  </si>
  <si>
    <t>Səbət (Login) → Guest səbətinin birləşməsi</t>
  </si>
  <si>
    <t>1. Brauzer: Google Chrome (son stabil versiya), incognito rejim (cookies/cache təmizdir)
2. İstifadəçi login olmayıb (Guest)
3. Dil: AZ, Şəhər: Bakı (default)
4. Səbət boşdur (header-də səbət sayğacı göstərilmir)
5. Test hesabının öz səbəti boşdur
6. Test hesabının telefonu icraçının əlindədir</t>
  </si>
  <si>
    <t>1. Guest kimi 1 məhsulu səbətə əlavə et, adını qeyd et
2. "Qeydiyyat | Giriş" ilə OTP vasitəsilə login ol
3. Səbət səhifəsini aç</t>
  </si>
  <si>
    <t>1. Səbətdə guest kimi əlavə olunan məhsul göstərilir
2. Sayğac = 1
(Birləşmə qaydası — GQ_UI_07)</t>
  </si>
  <si>
    <t>TC_CART_POS_015</t>
  </si>
  <si>
    <t>[Login] Login istifadəçinin səbəti başqa brauzerdə eyni hesabla açıldıqda görünür</t>
  </si>
  <si>
    <t>Səbət (Login) → Server-side saxlanma</t>
  </si>
  <si>
    <t>1. Brauzer: Google Chrome (son stabil versiya)
2. Test hesabı Birmarket-də qeydiyyatdadır, telefon nömrəsi SMS qəbul edir (test icraçısının əlindədir)
3. İstifadəçi həmin hesabla login olub (header-də "Şəxsi hesabım" görünür)
4. Səbət boşdur
5. İkinci brauzer (Firefox) quraşdırılıb</t>
  </si>
  <si>
    <t>1. Chrome-da məhsulu səbətə əlavə et, adını qeyd et
2. Firefox-da eyni nömrə ilə OTP ilə login ol
3. Firefox-da səbəti aç</t>
  </si>
  <si>
    <t>Firefox-da səbətdə eyni adlı məhsul, miqdar 1 göstərilir</t>
  </si>
  <si>
    <t>TC_CART_POS_016</t>
  </si>
  <si>
    <t>[Login] Logout edildikdə hesabın səbəti guest-ə görünmür, təkrar login-də bərpa olunur</t>
  </si>
  <si>
    <t>Səbət (Login) → Logout davranışı</t>
  </si>
  <si>
    <t>1. Brauzer: Google Chrome (son stabil versiya)
2. Test hesabı Birmarket-də qeydiyyatdadır, telefon nömrəsi SMS qəbul edir (test icraçısının əlindədir)
3. İstifadəçi həmin hesabla login olub (header-də "Şəxsi hesabım" görünür)
4. Səbətdə 1 məhsul var</t>
  </si>
  <si>
    <t>1. Logout et
2. Səbət sayğacını yoxla
3. Təkrar OTP ilə login ol
4. Səbəti yoxla</t>
  </si>
  <si>
    <t>1. Logout-dan sonra hesabın məhsulu guest səbətində göstərilmir
2. Təkrar login-dən sonra məhsul səbətdə bərpa olunur (GQ_UI_18)</t>
  </si>
  <si>
    <t>TC_CART_POS_017</t>
  </si>
  <si>
    <t>[Login] Bir cihazda səbətdən silinən məhsul başqa cihazda da silinir</t>
  </si>
  <si>
    <t>Səbət (Login) → Silmənin sinxronizasiyası</t>
  </si>
  <si>
    <t>1. Brauzer: Google Chrome (son stabil versiya)
2. Test hesabı Birmarket-də qeydiyyatdadır, telefon nömrəsi SMS qəbul edir (test icraçısının əlindədir)
3. İstifadəçi həmin hesabla login olub (header-də "Şəxsi hesabım" görünür)
4. Səbətdə 1 məhsul var
5. Eyni hesab ikinci brauzerdə də login olub</t>
  </si>
  <si>
    <t>1. Brauzer 1-də məhsulu sil
2. Brauzer 2-də səbəti yenilə</t>
  </si>
  <si>
    <t>Brauzer 2-də səbət boşdur</t>
  </si>
  <si>
    <t>TC_FAV_POS_001</t>
  </si>
  <si>
    <t>Guest məhsulu login olmadan seçilmişlərə əlavə edə bilir və o, Seçilmişlər səhifəsində görünür</t>
  </si>
  <si>
    <t>Seçilmişlər (Guest) → Əlavə etmə</t>
  </si>
  <si>
    <t>1. Brauzer: Google Chrome (son stabil versiya), incognito rejim (cookies/cache təmizdir)
2. İstifadəçi login olmayıb (Guest)
3. Dil: AZ, Şəhər: Bakı (default)
4. Guest seçilmişlər siyahısı boşdur
5. Kateqoriya səhifəsi açıqdır: https://birmarket.az/categories/2-telefonlar-ve-aksessuarlar</t>
  </si>
  <si>
    <t>1. İlk məhsul kartının adını qeyd et
2. Kartdakı ürək ikonuna klik et
3. İkonun vəziyyətini yoxla
4. Header-dəki "Seçilmişlər" linkinə klik et
5. Siyahını yoxla</t>
  </si>
  <si>
    <t>1. Giriş tələb olunmur
2. Ürək ikonu aktiv (doldurulmuş) vəziyyətə keçir
3. /favorites səhifəsində həmin adlı məhsul göstərilir</t>
  </si>
  <si>
    <t>Guest kartdakı ürək ikonuna klik etdi: header sayğacı 1, /favorites-də həmin məhsul (ad eynidir). PASS.</t>
  </si>
  <si>
    <t>TC_FAV_POS_003</t>
  </si>
  <si>
    <t>Guest-in seçilmişləri səhifə yeniləndikdən sonra saxlanılır</t>
  </si>
  <si>
    <t>Seçilmişlər (Guest) → Persistence</t>
  </si>
  <si>
    <t>1. Brauzer: Google Chrome (son stabil versiya), incognito rejim (cookies/cache təmizdir)
2. İstifadəçi login olmayıb (Guest)
3. Dil: AZ, Şəhər: Bakı (default)
4. Guest seçilmişlərə 1 məhsul əlavə edib</t>
  </si>
  <si>
    <t>1. Məhsulun adını qeyd et
2. Səhifəni yenilə (F5)
3. Seçilmişlər səhifəsini aç</t>
  </si>
  <si>
    <t>Seçilmişlərdə eyni adlı məhsul göstərilir</t>
  </si>
  <si>
    <t>TC_FAV_POS_008</t>
  </si>
  <si>
    <t>Guest məhsulu seçilmişlərdən sildikdə siyahıdan çıxır</t>
  </si>
  <si>
    <t>Seçilmişlər (Guest) → Silmə</t>
  </si>
  <si>
    <t>1. Brauzer: Google Chrome (son stabil versiya), incognito rejim (cookies/cache təmizdir)
2. İstifadəçi login olmayıb (Guest)
3. Dil: AZ, Şəhər: Bakı (default)
4. Guest seçilmişlərə 1 məhsul əlavə edib, Seçilmişlər səhifəsi açıqdır</t>
  </si>
  <si>
    <t>1. Məhsulun ürək ikonuna klik et
2. Siyahını yoxla</t>
  </si>
  <si>
    <t>1. Məhsul siyahıdan silinir
2. Seçilmişlər boş vəziyyətdə göstərilir</t>
  </si>
  <si>
    <t>TC_FAV_POS_002</t>
  </si>
  <si>
    <t>[Login] Login olmuş istifadəçi məhsulu seçilmişlərə əlavə etdikdə o, Seçilmişlər səhifəsində görünür</t>
  </si>
  <si>
    <t>Seçilmişlər → Login</t>
  </si>
  <si>
    <t>1. Brauzer: Google Chrome (son stabil versiya)
2. Test hesabı Birmarket-də qeydiyyatdadır, telefon nömrəsi SMS qəbul edir (test icraçısının əlindədir)
3. İstifadəçi həmin hesabla login olub (header-də "Şəxsi hesabım" görünür)
4. Seçilmişlər siyahısı boşdur
5. Kateqoriya səhifəsi açıqdır: https://birmarket.az/categories/2-telefonlar-ve-aksessuarlar</t>
  </si>
  <si>
    <t>1. İlk məhsul kartının adını qeyd et
2. Kartdakı ürək ikonuna klik et
3. Header-dəki "Seçilmişlər" linkinə klik et
4. Siyahını yoxla</t>
  </si>
  <si>
    <t>1. Ürək ikonu aktiv (doldurulmuş) vəziyyətə keçir
2. /favorites səhifəsində həmin adlı məhsul göstərilir</t>
  </si>
  <si>
    <t>TC_FAV_POS_004</t>
  </si>
  <si>
    <t>[Login] Məhsul seçilmişlərdən silindikdə siyahıdan çıxır</t>
  </si>
  <si>
    <t>Seçilmişlər (Login) → Silmə</t>
  </si>
  <si>
    <t>1. Brauzer: Google Chrome (son stabil versiya)
2. Test hesabı Birmarket-də qeydiyyatdadır, telefon nömrəsi SMS qəbul edir (test icraçısının əlindədir)
3. İstifadəçi həmin hesabla login olub (header-də "Şəxsi hesabım" görünür)
4. Seçilmişlərdə 1 məhsul var
5. Seçilmişlər səhifəsi açıqdır</t>
  </si>
  <si>
    <t>1. Məhsulun ürək ikonuna klik et
2. Siyahını yoxla
3. Həmin məhsulun PDP-sini aç, ikonu yoxla</t>
  </si>
  <si>
    <t>1. Məhsul siyahıdan silinir, boş vəziyyət göstərilir
2. PDP-də ürək ikonu pasivdir</t>
  </si>
  <si>
    <t>TC_FAV_POS_005</t>
  </si>
  <si>
    <t>[Login] Seçilmişlər logout və təkrar login-dən sonra saxlanılır</t>
  </si>
  <si>
    <t>Seçilmişlər (Login) → Saxlanma</t>
  </si>
  <si>
    <t>1. Brauzer: Google Chrome (son stabil versiya)
2. Test hesabı Birmarket-də qeydiyyatdadır, telefon nömrəsi SMS qəbul edir (test icraçısının əlindədir)
3. İstifadəçi həmin hesabla login olub (header-də "Şəxsi hesabım" görünür)
4. Seçilmişlərdə 1 məhsul var</t>
  </si>
  <si>
    <t>1. Məhsulun adını qeyd et
2. Logout et
3. Təkrar OTP ilə login ol
4. Seçilmişləri aç</t>
  </si>
  <si>
    <t>Seçilmişlərdə eyni məhsul göstərilir</t>
  </si>
  <si>
    <t>TC_FAV_POS_006</t>
  </si>
  <si>
    <t>[Login] Seçilmişlər səhifəsindən məhsul səbətə əlavə edilir</t>
  </si>
  <si>
    <t>Seçilmişlər (Login) → Səbətə əlavə</t>
  </si>
  <si>
    <t>1. Brauzer: Google Chrome (son stabil versiya)
2. Test hesabı Birmarket-də qeydiyyatdadır, telefon nömrəsi SMS qəbul edir (test icraçısının əlindədir)
3. İstifadəçi həmin hesabla login olub (header-də "Şəxsi hesabım" görünür)
4. Seçilmişlərdə 1 məhsul var, səbət boşdur</t>
  </si>
  <si>
    <t>1. Seçilmişlər səhifəsini aç
2. Məhsul kartındakı səbət düyməsinə klik et
3. Səbət sayğacını yoxla</t>
  </si>
  <si>
    <t>1. Səbət sayğacı = 1
2. Məhsul seçilmişlərdə də qalır</t>
  </si>
  <si>
    <t>TC_FAV_POS_007</t>
  </si>
  <si>
    <t>[Login] Boş Seçilmişlər səhifəsində boş vəziyyət mesajı göstərilir</t>
  </si>
  <si>
    <t>Seçilmişlər (Login) → Boş vəziyyət</t>
  </si>
  <si>
    <t>1. Brauzer: Google Chrome (son stabil versiya)
2. Test hesabı Birmarket-də qeydiyyatdadır, telefon nömrəsi SMS qəbul edir (test icraçısının əlindədir)
3. İstifadəçi həmin hesabla login olub (header-də "Şəxsi hesabım" görünür)
4. Seçilmişlər boşdur</t>
  </si>
  <si>
    <t>1. Header-dəki "Seçilmişlər" linkinə klik et
2. Səhifəni müşahidə et</t>
  </si>
  <si>
    <t>Boş siyahı barədə mesaj və alış-verişə keçid imkanı göstərilir</t>
  </si>
  <si>
    <t>TC_FAV_POS_009</t>
  </si>
  <si>
    <t>Guest kimi seçilmişlərə əlavə edilmiş məhsul login olduqdan sonra hesabın seçilmişlərində görünür</t>
  </si>
  <si>
    <t>Seçilmişlər (Guest → Login) → Birləşmə</t>
  </si>
  <si>
    <t>1. Brauzer: Google Chrome (son stabil versiya), incognito rejim (cookies/cache təmizdir)
2. İstifadəçi login olmayıb (Guest)
3. Dil: AZ, Şəhər: Bakı (default)
4. Guest seçilmişlər siyahısı boşdur
5. Test hesabının seçilmişləri boşdur, telefonu icraçının əlindədir</t>
  </si>
  <si>
    <t>1. Guest kimi 1 məhsulu seçilmişlərə əlavə et, adını qeyd et
2. OTP ilə login ol
3. Seçilmişlər səhifəsini aç</t>
  </si>
  <si>
    <t>Guest kimi əlavə edilmiş məhsul login-dən sonra hesabın seçilmişlərində qalır</t>
  </si>
  <si>
    <t>Davranış təsdiqlənib; amma SMS OTP tələb edir → manual regression.</t>
  </si>
  <si>
    <t>Guest kimi əlavə olunan məhsul login-dən sonra hesabın seçilmişlərində qalır (GQ_UI_21). PASS.</t>
  </si>
  <si>
    <t>TC_AUTH_BVA_003</t>
  </si>
  <si>
    <t>8 rəqəmli telefon nömrəsi (min−1) ilə "Kodu göndər" basıldıqda "Telefon nömrəsi yanlışdır" xətası göstərilir</t>
  </si>
  <si>
    <t>Autentifikasiya → Telefon uzunluğu</t>
  </si>
  <si>
    <t>1. Brauzer: Google Chrome (son stabil versiya), incognito rejim (cookies/cache təmizdir)
2. İstifadəçi login olmayıb (Guest)
3. Dil: AZ, Şəhər: Bakı (default)
4. Giriş səhifəsi açıqdır: header-də "Qeydiyyat | Giriş" linkinə klik edilib</t>
  </si>
  <si>
    <t>1. Telefon sahəsinə test datanı daxil et
2. "Kodu göndər" düyməsinə klik et
3. Nəticəni müşahidə et</t>
  </si>
  <si>
    <t>Telefon: 50 123 456 (8 rəqəm)
Tələb: +994-dən sonra 9 rəqəm</t>
  </si>
  <si>
    <t>1. "Kodu göndər" düyməsi aktiv qalır (klik edilə bilir)
2. Klikdən sonra sahənin altında "Telefon nömrəsi yanlışdır" xətası göstərilir
3. OTP ekranına keçid olmur, SMS göndərilmir</t>
  </si>
  <si>
    <t>Davranış saytda təsdiqlənib; yanlış nömrədə SMS göndərilmir → təhlükəsiz və deterministik, avtomatlaşdırılır.</t>
  </si>
  <si>
    <t>8 rəqəm ("50123456") ilə "Kodu göndər" → "Telefon nömrəsi yanlışdır" xətası, OTP ekranı açılmadı. PASS.</t>
  </si>
  <si>
    <t>TC_AUTH_BVA_004</t>
  </si>
  <si>
    <t>9 rəqəmli düzgün formatlı nömrə (sərhəd dəyəri) sahə tərəfindən qəbul edilir və xəta göstərilmir</t>
  </si>
  <si>
    <t>Pozitiv, BVA</t>
  </si>
  <si>
    <t>1. Telefon sahəsinə test datanı daxil et
2. Sahədəki dəyəri oxu
3. Sahənin altında xəta olub-olmadığını yoxla ("Kodu göndər"-ə KLİK ETMƏ)</t>
  </si>
  <si>
    <t>Telefon: 50 123 45 67 (9 rəqəm, fiktiv nömrə)</t>
  </si>
  <si>
    <t>1. Sahə 9 rəqəmin hamısını qəbul edir
2. Sahənin altında xəta mesajı göstərilmir
3. "Kodu göndər" düyməsi aktivdir</t>
  </si>
  <si>
    <t>Düyməyə klik edilmədiyi üçün SMS göndərilmir → təhlükəsiz və stabil, avtomatlaşdırılır. | Avtomatlaşdırma cəhdindən sonra Manual-a keçirildi: Telefon sahəsində maska var; düzgün nömrə ilə "Kodu göndər" real SMS göndərir.</t>
  </si>
  <si>
    <t>9 rəqəmli nömrə sahəyə tam yazılır, xəta göstərilmir, "Kodu göndər" aktivdir (GQ_UI_08). PASS.</t>
  </si>
  <si>
    <t>TC_AUTH_BVA_005</t>
  </si>
  <si>
    <t>10-cu rəqəm (max+1) telefon sahəsinə daxil edilə bilmir</t>
  </si>
  <si>
    <t>1. Telefon sahəsinə test datanı daxil et
2. Sahədəki dəyəri oxu</t>
  </si>
  <si>
    <t>Telefon: 50 123 45 678 (10 rəqəm)</t>
  </si>
  <si>
    <t>Sahədə +994-dən sonra yalnız 9 rəqəm saxlanılır (10-cu rəqəm qəbul edilmir)</t>
  </si>
  <si>
    <t>Davranış saytda təsdiqlənib; deterministik nəticə, SMS/login tələb etmir → avtomatlaşdırılır. | Avtomatlaşdırma cəhdindən sonra Manual-a keçirildi: Telefon sahəsində maska var, sendKeys ilə dəqiq yoxlama etibarsızdır.</t>
  </si>
  <si>
    <t>10-cu rəqəm sahəyə yazılmır — +994-dən sonra maks. 9 rəqəm (GQ_UI_08). PASS.</t>
  </si>
  <si>
    <t>TC_AUTH_EDGE_014</t>
  </si>
  <si>
    <t>Nömrə "+994" prefiksi ilə yapışdırıldıqda (paste) prefiks təkrarlanmır</t>
  </si>
  <si>
    <t>Autentifikasiya → Paste</t>
  </si>
  <si>
    <t>1. Test datanı buferə kopyala
2. Telefon sahəsinə yapışdır (Ctrl+V)
3. Sahənin dəyərini oxu</t>
  </si>
  <si>
    <t>Bufer: +994501234567</t>
  </si>
  <si>
    <t>Sahədə "+994 50 123 45 67" formatı göstərilir, "+994" iki dəfə yazılmır</t>
  </si>
  <si>
    <t>Real paste davranışı avtomatlaşdırmada (sendKeys) simulyasiya olunmur; edge case → manual.</t>
  </si>
  <si>
    <t>TC_AUTH_EDGE_015</t>
  </si>
  <si>
    <t>Nömrə yerli formatda (başında 0 ilə) daxil edildikdə düzgün idarə olunur</t>
  </si>
  <si>
    <t>Autentifikasiya → Yerli format</t>
  </si>
  <si>
    <t>Edge, EP</t>
  </si>
  <si>
    <t>1. Telefon sahəsinə test datanı daxil et
2. Sahənin dəyərini oxu
3. "Kodu göndər" düyməsinə klik et
4. Nəticəni müşahidə et</t>
  </si>
  <si>
    <t>Telefon: 0501234567</t>
  </si>
  <si>
    <t>Baştakı 0 atılır və nömrə "50 123 45 67" kimi qəbul edilir, və ya "Telefon nömrəsi yanlışdır" xətası göstərilir (GQ_UI_15)</t>
  </si>
  <si>
    <t>TC_AUTH_NEG_002</t>
  </si>
  <si>
    <t>Telefon sahəsi boş olduqda "Kodu göndər" basıldıqda kod göndərilmir və xəta göstərilir</t>
  </si>
  <si>
    <t>Autentifikasiya → Telefon validasiyası</t>
  </si>
  <si>
    <t>1. Telefon sahəsini boş saxla
2. "Kodu göndər" düyməsinə klik et
3. Nəticəni müşahidə et</t>
  </si>
  <si>
    <t>Telefon: (boş)</t>
  </si>
  <si>
    <t>1. Sahənin altında validasiya xətası göstərilir (gözlənilən: "Telefon nömrəsi yanlışdır")
2. OTP ekranına keçid olmur, SMS göndərilmir</t>
  </si>
  <si>
    <t>Validasiya client-side baş verir, SMS göndərilmir → təhlükəsiz və deterministik, avtomatlaşdırılır.</t>
  </si>
  <si>
    <t>Boş sahə ilə "Kodu göndər" → "Telefon nömrəsi yanlışdır", OTP ekranı açılmadı. PASS.</t>
  </si>
  <si>
    <t>TC_AUTH_NEG_006</t>
  </si>
  <si>
    <t>Telefon sahəsinə hərf və xüsusi simvollar daxil edilə bilmir</t>
  </si>
  <si>
    <t>Autentifikasiya → Telefon formatı</t>
  </si>
  <si>
    <t>1. Telefon sahəsinə test datanı daxil et
2. Sahədəki dəyəri oxu
3. "Kodu göndər" düyməsinə klik et</t>
  </si>
  <si>
    <t>Telefon: abc!@#</t>
  </si>
  <si>
    <t>1. Sahə boş qalır (hərf/simvol qəbul edilmir)
2. Klikdən sonra validasiya xətası göstərilir, SMS göndərilmir</t>
  </si>
  <si>
    <t>Hərf və simvollar ("abc!@#") sahəyə yazılmır (maska yalnız rəqəm qəbul edir). PASS.</t>
  </si>
  <si>
    <t>TC_AUTH_NEG_007</t>
  </si>
  <si>
    <t>Mövcud olmayan operator kodu ilə nömrə daxil edildikdə validasiya xətası göstərilir</t>
  </si>
  <si>
    <t>Autentifikasiya → Operator kodu</t>
  </si>
  <si>
    <t>Telefon: 12 345 67 89 (operator kodu 12 — mobil deyil)
Etibarlı kodlar: 10, 50, 51, 55, 60, 70, 77, 99</t>
  </si>
  <si>
    <t>1. Sahənin altında "Telefon nömrəsi yanlışdır" xətası göstərilir
2. OTP ekranına keçid olmur, SMS göndərilmir</t>
  </si>
  <si>
    <t>Davranış saytda təsdiqlənib; deterministik nəticə, SMS/login tələb etmir → avtomatlaşdırılır. | Avtomatlaşdırma cəhdindən sonra Manual-a keçirildi: Real operator nömrəsində SMS göndərilmə riski.</t>
  </si>
  <si>
    <t>TC_AUTH_POS_001</t>
  </si>
  <si>
    <t>"Qeydiyyat | Giriş" linkinə klik edildikdə telefon nömrəsi ilə giriş ekranı açılır</t>
  </si>
  <si>
    <t>Autentifikasiya → Giriş ekranı</t>
  </si>
  <si>
    <t>1. Header-dəki "Qeydiyyat | Giriş" linkinə klik et
2. Açılan ekranı müşahidə et</t>
  </si>
  <si>
    <t>1. URL "/auth/authentication" ehtiva edir
2. Başlıq "Telefon nömrəsi ilə" və alt mətn "Sizə təsdiq kodu göndərəcəyik" göstərilir
3. "Telefon nömrəsi" sahəsi +994 prefiksi ilə görünür
4. "Kodu göndər" düyməsi görünür</t>
  </si>
  <si>
    <t>Smoke; SMS göndərilmədən yoxlanılır, deterministikdir → avtomatlaşdırılır.</t>
  </si>
  <si>
    <t>"Qeydiyyat | Giriş" əvvəlcə /auth/authentication ara səhifəsini ("Davam etmək üçün daxil olun") açır; "Daxil ol" → BirID (birid.kapitalbank.az) telefon ekranı, "Kodu göndər" düyməsi var. PASS.</t>
  </si>
  <si>
    <t>TC_AUTH_POS_016</t>
  </si>
  <si>
    <t>"BirID ilə daxil ol" düyməsi BirID giriş axınına yönləndirir</t>
  </si>
  <si>
    <t>Autentifikasiya → BirID</t>
  </si>
  <si>
    <t>1. "BirID ilə daxil ol" düyməsinə klik et
2. Açılan səhifəni/pəncərəni yoxla</t>
  </si>
  <si>
    <t>BirID giriş ekranı açılır (telefon nömrəsi tələb olunur)</t>
  </si>
  <si>
    <t>Xarici sistemə (BirID) yönləndirmə — üçüncü tərəf asılılığı avtomatlaşdırmanı qeyri-stabil edir → manual.</t>
  </si>
  <si>
    <t>TC_AUTH_BVA_017</t>
  </si>
  <si>
    <t>OTP sahəsinə 5 rəqəm (6 rəqəmli kod üçün min−1) daxil edildikdə login olunmur</t>
  </si>
  <si>
    <t>Autentifikasiya → OTP uzunluğu</t>
  </si>
  <si>
    <t>1. Brauzer: Google Chrome (son stabil versiya), incognito rejim (cookies/cache təmizdir)
2. İstifadəçi login olmayıb (Guest)
3. Dil: AZ, Şəhər: Bakı (default)
4. Giriş səhifəsi açıqdır: header-də "Qeydiyyat | Giriş" linkinə klik edilib
5. Test hesabının nömrəsi daxil edilib, OTP ekranı açıqdır</t>
  </si>
  <si>
    <t>1. OTP sahəsinə SMS kodunun ilk (N−1) rəqəmini daxil et
2. "Giriş" düyməsinin vəziyyətini yoxla</t>
  </si>
  <si>
    <t>OTP: SMS kodunun ilk 5 rəqəmi (kod uzunluğu = 6)</t>
  </si>
  <si>
    <t>"Giriş" düyməsi deaktivdir və ya xəta göstərilir; login olunmur</t>
  </si>
  <si>
    <t>SMS OTP tələb edir → manual; validasiya funksiyası nadir dəyişir → regression-a daxil deyil.</t>
  </si>
  <si>
    <t>TC_AUTH_BVA_025</t>
  </si>
  <si>
    <t>2 ardıcıl yanlış OTP cəhdindən (limit−1) sonra kod daxil etmək hələ də mümkündür</t>
  </si>
  <si>
    <t>Autentifikasiya → Cəhd limiti</t>
  </si>
  <si>
    <t>1. Brauzer: Google Chrome (son stabil versiya), incognito rejim (cookies/cache təmizdir)
2. İstifadəçi login olmayıb (Guest)
3. Dil: AZ, Şəhər: Bakı (default)
4. Giriş səhifəsi açıqdır: header-də "Qeydiyyat | Giriş" linkinə klik edilib
5. Test hesabının nömrəsi daxil edilib, OTP ekranı açıqdır, SMS kod alınıb</t>
  </si>
  <si>
    <t>1. Yanlış kodu daxil et (1-ci cəhd)
2. Yanlış kodu daxil et (2-ci cəhd)
3. SMS ilə gələn düzgün kodu daxil et</t>
  </si>
  <si>
    <t>OTP 1-2: 000000
OTP 3: SMS-dəki düzgün kod</t>
  </si>
  <si>
    <t>1. Hər yanlış cəhddən sonra blok mesajı göstərilmir
2. 3-cü cəhddə düzgün kodla login uğurludur</t>
  </si>
  <si>
    <t>Real SMS OTP tələb edir və test nömrəni 15 dəqiqəlik bloklayır → yalnız manual, planlı icra; regression-a daxil deyil.</t>
  </si>
  <si>
    <t>TC_AUTH_NEG_010</t>
  </si>
  <si>
    <t>Yanlış OTP kodu daxil edildikdə xəta mesajı göstərilir və login olunmur</t>
  </si>
  <si>
    <t>Autentifikasiya → OTP təsdiqi</t>
  </si>
  <si>
    <t>1. OTP sahəsinə yanlış 6 rəqəmli kodu daxil et (6-cı rəqəmdən sonra kod avtomatik yoxlanılır)
2. Nəticəni müşahidə et</t>
  </si>
  <si>
    <t>OTP: SMS-dəki koddan fərqli istənilən kod (məs. 000000)</t>
  </si>
  <si>
    <t>1. Yanlış kod barədə xəta mesajı göstərilir
2. İstifadəçi OTP ekranında qalır
3. Header-də "Qeydiyyat | Giriş" qalır</t>
  </si>
  <si>
    <t>Yanlış kod daxil edildikdə "Daxil etdiyiniz təsdiq kodu yanlışdır." xətası göstərildi, istifadəçi OTP ekranında qaldı. Müşahidə: ayrıca "Giriş" düyməsi yoxdur — 6-cı rəqəm daxil edilən kimi kod avtomatik yoxlanılır. (Əsas nömrə bu brauzerdə OTP-siz daxil olduğu üçün — BUG_001 — test ikinci nömrə ilə icra olunub.) PASS.</t>
  </si>
  <si>
    <t>TC_AUTH_NEG_011</t>
  </si>
  <si>
    <t>Vaxtı bitmiş OTP kodu qəbul edilmir və kodu yenidən göndərmək mümkün olur</t>
  </si>
  <si>
    <t>Autentifikasiya → OTP müddəti</t>
  </si>
  <si>
    <t>1. Brauzer: Google Chrome (son stabil versiya), incognito rejim (cookies/cache təmizdir)
2. İstifadəçi login olmayıb (Guest)
3. Dil: AZ, Şəhər: Bakı (default)
4. Giriş səhifəsi açıqdır: header-də "Qeydiyyat | Giriş" linkinə klik edilib
5. OTP ekranı açıqdır, SMS kod alınıb</t>
  </si>
  <si>
    <t>1. Geri sayım taymerinin (2:59) bitməsini gözlə
2. Köhnə kodu daxil edib "Giriş"-ə klik et
3. "Kodu yenidən göndər" linkini yoxla</t>
  </si>
  <si>
    <t>OTP: taymerdən əvvəl alınmış köhnə kod</t>
  </si>
  <si>
    <t>1. Köhnə kod rədd edilir, xəta mesajı göstərilir
2. "Kodu yenidən göndər" aktiv olur
(OTP etibarlılıq müddəti — GQ_UI_09)</t>
  </si>
  <si>
    <t>SMS OTP + gözləmə müddəti tələb edir; prod-da bypass yoxdur → manual. Tez-tez dəyişməyən funksionallıq olduğu üçün regression-a daxil edilmir.</t>
  </si>
  <si>
    <t>TC_AUTH_NEG_018</t>
  </si>
  <si>
    <t>OTP sahəsinə hərf daxil edilə bilmir</t>
  </si>
  <si>
    <t>Autentifikasiya → OTP formatı</t>
  </si>
  <si>
    <t>1. Brauzer: Google Chrome (son stabil versiya), incognito rejim (cookies/cache təmizdir)
2. İstifadəçi login olmayıb (Guest)
3. Dil: AZ, Şəhər: Bakı (default)
4. Giriş səhifəsi açıqdır: header-də "Qeydiyyat | Giriş" linkinə klik edilib
5. OTP ekranı açıqdır</t>
  </si>
  <si>
    <t>1. OTP sahəsinə test datanı daxil et
2. Sahənin dəyərini oxu</t>
  </si>
  <si>
    <t>OTP: abcd</t>
  </si>
  <si>
    <t>Sahə boş qalır (yalnız rəqəm qəbul edilir)</t>
  </si>
  <si>
    <t>SMS göndərilməsi ilə açılan ekran → manual; aşağı risk.</t>
  </si>
  <si>
    <t>TC_AUTH_NEG_019</t>
  </si>
  <si>
    <t>3-cü ardıcıl yanlış OTP cəhdindən sonra nömrə 15 dəqiqəlik bloklanır</t>
  </si>
  <si>
    <t>Neqativ, BVA, State Transition</t>
  </si>
  <si>
    <t>1. Yanlış kodu daxil et (1-ci cəhd)
2. Yanlış kodu daxil et (2-ci cəhd)
3. Yanlış kodu daxil et (3-cü cəhd)
4. Mesajı oxu</t>
  </si>
  <si>
    <t>OTP: 000000 × 3
Limit: 2 yanlış cəhd icazəlidir, 3-cü bloklayır</t>
  </si>
  <si>
    <t>1. 3-cü cəhddən sonra mesaj göstərilir: "Zəhmət olmasa, 15 dəqiqədən sonra yenidən cəhd edin."
2. "Giriş səhifəsinə qayıt" linki göstərilir
3. Yeni kod daxil etmək mümkün deyil</t>
  </si>
  <si>
    <t>3-cü yanlış OTP-dən sonra "Zəhmət olmasa, 15 dəqiqədən sonra yenidən cəhd edin." göstərilir, kod daxil etmək mümkün deyil (GQ_UI_09). PASS.</t>
  </si>
  <si>
    <t>TC_AUTH_NEG_026</t>
  </si>
  <si>
    <t>OTP bloku yalnız həmin nömrəyə aiddir — başqa nömrə ilə kod almaq mümkündür</t>
  </si>
  <si>
    <t>Autentifikasiya → Blokun əhatəsi</t>
  </si>
  <si>
    <t>1. Brauzer: Google Chrome (son stabil versiya), incognito rejim (cookies/cache təmizdir)
2. İstifadəçi login olmayıb (Guest)
3. Dil: AZ, Şəhər: Bakı (default)
4. Giriş səhifəsi açıqdır: header-də "Qeydiyyat | Giriş" linkinə klik edilib
5. Nömrə A 3 yanlış OTP cəhdi ilə bloklanıb
6. İkinci test nömrəsi (B) mövcuddur</t>
  </si>
  <si>
    <t>1. "Giriş səhifəsinə qayıt"-a klik et
2. Nömrə B-ni daxil et və "Kodu göndər"-yə klik et
3. Nömrə A-nı yenidən daxil et və "Kodu göndər"-yə klik et</t>
  </si>
  <si>
    <t>Nömrə A: bloklanmış
Nömrə B: bloklanmamış</t>
  </si>
  <si>
    <t>1. Nömrə B üçün OTP ekranı açılır və SMS gəlir
2. Nömrə A üçün 15 dəqiqə bitənədək kod göndərilmir</t>
  </si>
  <si>
    <t>Blok yalnız həmin nömrəyə aiddir — başqa nömrə ilə OTP alınır (GQ_UI_09). PASS.</t>
  </si>
  <si>
    <t>TC_AUTH_POS_008</t>
  </si>
  <si>
    <t>Düzgün telefon nömrəsi ilə "Kodu göndər" basıldıqda OTP ekranı və geri sayım taymeri göstərilir</t>
  </si>
  <si>
    <t>Autentifikasiya → OTP göndərilməsi</t>
  </si>
  <si>
    <t>1. Brauzer: Google Chrome (son stabil versiya), incognito rejim (cookies/cache təmizdir)
2. İstifadəçi login olmayıb (Guest)
3. Dil: AZ, Şəhər: Bakı (default)
4. Giriş səhifəsi açıqdır: header-də "Qeydiyyat | Giriş" linkinə klik edilib
5. Test hesabının telefonu icraçının əlindədir</t>
  </si>
  <si>
    <t>1. Telefon sahəsinə test hesabının nömrəsini daxil et
2. "Kodu göndər" düyməsinə klik et
3. Ekranı və telefonu müşahidə et</t>
  </si>
  <si>
    <t>Telefon: &lt;test hesabının nömrəsi&gt; (sənəddə real nömrə saxlanılmır)</t>
  </si>
  <si>
    <t>1. OTP kodu daxil etmə ekranı açılır (6 xanalı)
2. Geri sayım taymeri 2:59-dan başlayır
3. Telefona 6 rəqəmli SMS kod gəlir</t>
  </si>
  <si>
    <t>Nömrə daxil edilib "Kodu göndər" basıldı: OTP ekranı açıldı, "Kodu yenidən göndər" taymeri 2:59-dan başladı, telefona SMS kod gəldi. PASS.</t>
  </si>
  <si>
    <t>TC_AUTH_POS_009</t>
  </si>
  <si>
    <t>Düzgün OTP kodu daxil edildikdə istifadəçi login olur</t>
  </si>
  <si>
    <t>1. SMS ilə gələn 6 rəqəmli kodu OTP sahəsinə daxil et (6-cı rəqəmdən sonra kod avtomatik yoxlanılır)
2. Header-i yoxla</t>
  </si>
  <si>
    <t>OTP: SMS ilə gələn kod</t>
  </si>
  <si>
    <t>1. İstifadəçi ana səhifəyə/əvvəlki səhifəyə yönləndirilir
2. Header-də "Qeydiyyat | Giriş" əvəzinə "Şəxsi hesabım" menyusu göstərilir</t>
  </si>
  <si>
    <t>Düzgün SMS kodu daxil edildi (6-cı rəqəmdə avtomatik təsdiq): istifadəçi ana səhifəyə yönləndirildi, header-də "Qeydiyyat | Giriş" əvəzinə "Şəxsi hesabım" göstərildi. PASS.</t>
  </si>
  <si>
    <t>TC_AUTH_POS_013</t>
  </si>
  <si>
    <t>Logout edildikdən sonra istifadəçi guest vəziyyətinə qayıdır</t>
  </si>
  <si>
    <t>Autentifikasiya → Logout</t>
  </si>
  <si>
    <t>1. Brauzer: Google Chrome (son stabil versiya)
2. Test hesabı Birmarket-də qeydiyyatdadır, telefon nömrəsi SMS qəbul edir (test icraçısının əlindədir)
3. İstifadəçi həmin hesabla login olub (header-də "Şəxsi hesabım" görünür)</t>
  </si>
  <si>
    <t>1. Header-dəki "Şəxsi hesabım"-a klik et
2. "Çıxış" seçiminə klik et
3. Header-i yoxla
4. Səhifəni yenilə</t>
  </si>
  <si>
    <t>1. Header-də yenidən "Qeydiyyat | Giriş" görünür
2. Səhifə yeniləndikdən sonra da guest vəziyyəti qalır</t>
  </si>
  <si>
    <t>"Şəxsi hesabım" → "Çıxış": header-də yenidən "Qeydiyyat | Giriş", səbət sayğacı sıfırlandı; F5-dən sonra guest vəziyyəti qalır. PASS.</t>
  </si>
  <si>
    <t>TC_AUTH_POS_020</t>
  </si>
  <si>
    <t>"Kodu yenidən göndər" ilə yeni kod gəlir və köhnə kod etibarsız olur</t>
  </si>
  <si>
    <t>Autentifikasiya → Kodu yenidən göndər</t>
  </si>
  <si>
    <t>1. Brauzer: Google Chrome (son stabil versiya), incognito rejim (cookies/cache təmizdir)
2. İstifadəçi login olmayıb (Guest)
3. Dil: AZ, Şəhər: Bakı (default)
4. Giriş səhifəsi açıqdır: header-də "Qeydiyyat | Giriş" linkinə klik edilib
5. OTP ekranı açıqdır, 1-ci SMS kod alınıb</t>
  </si>
  <si>
    <t>1. Taymerin bitməsini gözlə
2. "Kodu yenidən göndər"-ə klik et
3. 1-ci (köhnə) kodu daxil et və "Giriş"-ə klik et
4. 2-ci (yeni) kodu daxil et və "Giriş"-ə klik et</t>
  </si>
  <si>
    <t>OTP 1: köhnə kod
OTP 2: yeni kod</t>
  </si>
  <si>
    <t>1. Yeni SMS gəlir, taymer yenidən başlayır
2. Köhnə kod rədd edilir
3. Yeni kodla login uğurludur</t>
  </si>
  <si>
    <t>TC_AUTH_POS_021</t>
  </si>
  <si>
    <t>OTP ekranından geri qayıtdıqda telefon ekranı açılır və nömrə dəyişdirilə bilir</t>
  </si>
  <si>
    <t>Autentifikasiya → Nömrəni dəyiş</t>
  </si>
  <si>
    <t>1. "Geri"/"Nömrəni dəyiş" elementinə klik et
2. Telefon sahəsini yoxla</t>
  </si>
  <si>
    <t>Telefon nömrəsi ekranı açılır, əvvəlki nömrə sahədə göstərilir və redaktə olunur</t>
  </si>
  <si>
    <t>SMS göndərilməsindən sonra açılan ekran → manual; aşağı risk.</t>
  </si>
  <si>
    <t>TC_AUTH_POS_022</t>
  </si>
  <si>
    <t>[Login] Brauzer bağlanıb yenidən açıldıqda sessiya saxlanılır</t>
  </si>
  <si>
    <t>Autentifikasiya → Sessiyanın saxlanması</t>
  </si>
  <si>
    <t>1. Brauzer: Google Chrome (son stabil versiya)
2. Test hesabı Birmarket-də qeydiyyatdadır, telefon nömrəsi SMS qəbul edir (test icraçısının əlindədir)
3. İstifadəçi həmin hesabla login olub (header-də "Şəxsi hesabım" görünür) (incognito olmayan pəncərədə)</t>
  </si>
  <si>
    <t>1. Brauzeri tam bağla
2. Brauzeri aç və ana səhifəyə keç
3. Header-i yoxla</t>
  </si>
  <si>
    <t>İstifadəçi login qalır ("Şəxsi hesabım" görünür)</t>
  </si>
  <si>
    <t>TC_AUTH_POS_024</t>
  </si>
  <si>
    <t>Login-dən sonra istifadəçi login-dən əvvəl olduğu səhifəyə qaytarılır</t>
  </si>
  <si>
    <t>Autentifikasiya → Redirect</t>
  </si>
  <si>
    <t>1. Brauzer: Google Chrome (son stabil versiya), incognito rejim (cookies/cache təmizdir)
2. İstifadəçi login olmayıb (Guest)
3. Dil: AZ, Şəhər: Bakı (default)
4. Məhsul seçim qaydası: kateqoriyada stokda olan ilk məhsul kartı (qiymət/ad hardcode edilmir) — PDP açıqdır
5. Test hesabının telefonu icraçının əlindədir</t>
  </si>
  <si>
    <t>1. PDP URL-ni qeyd et
2. "Qeydiyyat | Giriş"-ə klik et
3. OTP ilə login ol
4. URL-i yoxla</t>
  </si>
  <si>
    <t>Login-dən sonra eyni PDP açılır (və ya ana səhifə — GQ_UI_09)</t>
  </si>
  <si>
    <t>TC_AUTH_POS_027</t>
  </si>
  <si>
    <t>15 dəqiqəlik blok bitdikdən sonra həmin nömrə ilə yenidən kod almaq mümkündür</t>
  </si>
  <si>
    <t>Autentifikasiya → Blokun bitməsi</t>
  </si>
  <si>
    <t>1. Brauzer: Google Chrome (son stabil versiya), incognito rejim (cookies/cache təmizdir)
2. İstifadəçi login olmayıb (Guest)
3. Dil: AZ, Şəhər: Bakı (default)
4. Giriş səhifəsi açıqdır: header-də "Qeydiyyat | Giriş" linkinə klik edilib
5. Nömrə 3 yanlış OTP cəhdi ilə bloklanıb, blokdan 15 dəqiqə keçib</t>
  </si>
  <si>
    <t>1. Nömrəni daxil et
2. "Kodu göndər"-yə klik et</t>
  </si>
  <si>
    <t>OTP ekranı açılır və SMS gəlir</t>
  </si>
  <si>
    <t>TC_AUTH_POS_028</t>
  </si>
  <si>
    <t>Eyni brauzerdə logout-dan sonra əvvəl istifadə olunmuş nömrə ilə girişdə OTP davranışı</t>
  </si>
  <si>
    <t>Autentifikasiya → Etibarlı cihaz</t>
  </si>
  <si>
    <t>1. Brauzer: Google Chrome (adi pəncərə, incognito deyil)
2. Test nömrəsi (A) ilə bu brauzerdə əvvəllər ən azı 2 dəfə OTP ilə login olunub
3. İstifadəçi "Çıxış" ilə logout edib
4. Giriş səhifəsi açıqdır: "Qeydiyyat | Giriş"</t>
  </si>
  <si>
    <t>1. Telefon sahəsinə nömrə A-nı daxil et
2. "Kodu göndər" düyməsinə klik et
3. Açılan ekranı müşahidə et</t>
  </si>
  <si>
    <t>Nömrə: A (əvvəllər bu brauzerdə istifadə olunub)</t>
  </si>
  <si>
    <t>Logout-dan sonra OTP ekranı açılmalı və SMS kod tələb olunmalıdır (logout etibarlı cihaz statusunu ləğv etməlidir — GQ_UI_24).
Faktiki müşahidə: OTP soruşulmadan birbaşa login olur → GQ cavabından asılı olaraq Bug və ya təsdiqlənmiş funksionallıq</t>
  </si>
  <si>
    <t>Real nömrə, cihaz/cookie vəziyyəti və SMS tələb edir → manual. Təhlükəsizlik baxımından kritik olduğu üçün manual regression-a daxildir.</t>
  </si>
  <si>
    <t>Fail</t>
  </si>
  <si>
    <t>FAIL — Logout-dan sonra eyni brauzerdə OTP soruşulmadan birbaşa login olur (SSO sessiyası bitmir). Bax: BUG_001.</t>
  </si>
  <si>
    <t>TC_AUTH_SEC_023</t>
  </si>
  <si>
    <t>[Login] Logout-dan sonra brauzerin "Geri" düyməsi şəxsi məlumatları göstərmir</t>
  </si>
  <si>
    <t>Autentifikasiya → Logout təhlükəsizliyi</t>
  </si>
  <si>
    <t>1. Brauzer: Google Chrome (son stabil versiya)
2. Test hesabı Birmarket-də qeydiyyatdadır, telefon nömrəsi SMS qəbul edir (test icraçısının əlindədir)
3. İstifadəçi həmin hesabla login olub (header-də "Şəxsi hesabım" görünür)
4. Şəxsi kabinet səhifəsi açıqdır</t>
  </si>
  <si>
    <t>1. Logout et
2. Brauzerin "Geri" düyməsinə bas
3. Səhifəni müşahidə et</t>
  </si>
  <si>
    <t>Kabinet məlumatları (ad, nömrə, sifarişlər) göstərilmir; giriş ekranı açılır</t>
  </si>
  <si>
    <t>TC_AUTH_SEC_029</t>
  </si>
  <si>
    <t>Təmiz brauzerdə (incognito) əvvəl istifadə olunmuş nömrə ilə girişdə OTP mütləq tələb olunur</t>
  </si>
  <si>
    <t>1. Brauzer: Google Chrome (son stabil versiya), incognito rejim (cookies/cache təmizdir)
2. İstifadəçi login olmayıb (Guest)
3. Dil: AZ, Şəhər: Bakı (default)
4. Nömrə A ilə başqa brauzerdə OTP-siz giriş müşahidə olunub (TC_AUTH_POS_028)
5. Giriş səhifəsi incognito pəncərədə açıqdır</t>
  </si>
  <si>
    <t>Nömrə: A
Brauzer: Chrome incognito (cookies yoxdur)</t>
  </si>
  <si>
    <t>1. OTP ekranı açılır, SMS kod tələb olunur
2. OTP daxil edilmədən login baş vermir
(Login baş verərsə — Critical Severity bug: yalnız nömrə ilə hesaba giriş)</t>
  </si>
  <si>
    <t>Chrome Incognito-da əsas nömrə ilə "Kodu göndər": OTP ekranı açıldı ("…nömrəsinə göndərdiyimiz kodu daxil edin", taymer), kod daxil edilmədən login baş vermədi; kod daxil edildikdən sonra login oldu. Yalnız nömrə ilə giriş mümkün deyil — Critical bug yoxdur. PASS.</t>
  </si>
  <si>
    <t>TC_AUTH_SEC_030</t>
  </si>
  <si>
    <t>Fərqli brauzerdə (Firefox) əvvəl istifadə olunmuş nömrə ilə girişdə OTP tələb olunur</t>
  </si>
  <si>
    <t>1. Brauzer: Mozilla Firefox (bu saytda heç vaxt istifadə olunmayıb)
2. İstifadəçi login olmayıb (Guest)
3. Dil: AZ, Şəhər: Bakı (default)
4. Giriş səhifəsi açıqdır</t>
  </si>
  <si>
    <t>Nömrə: A
Brauzer: Firefox</t>
  </si>
  <si>
    <t>OTP ekranı açılır, SMS kod tələb olunur; OTP-siz login baş vermir</t>
  </si>
  <si>
    <t>Microsoft Edge-də (bu saytda istifadə olunmamış brauzer) əsas nömrə ilə "Kodu göndər": OTP ekranı açıldı (taymer 2:58), kod daxil edildikdən sonra login oldu. PASS.</t>
  </si>
  <si>
    <t>TC_AUTH_SEC_031</t>
  </si>
  <si>
    <t>Etibarlı brauzerdə başqa nömrə ilə girişdə OTP tələb olunur</t>
  </si>
  <si>
    <t>1. Brauzer: Google Chrome (adi pəncərə, incognito deyil)
2. Test nömrəsi (A) ilə bu brauzerdə əvvəllər ən azı 2 dəfə OTP ilə login olunub
3. İstifadəçi "Çıxış" ilə logout edib
4. Giriş səhifəsi açıqdır: "Qeydiyyat | Giriş"
5. İkinci test nömrəsi (B) bu brauzerdə heç vaxt istifadə olunmayıb</t>
  </si>
  <si>
    <t>1. Telefon sahəsinə nömrə B-ni daxil et
2. "Kodu göndər" düyməsinə klik et
3. Açılan ekranı müşahidə et</t>
  </si>
  <si>
    <t>Nömrə: B (bu brauzerdə yeni)</t>
  </si>
  <si>
    <t>OTP ekranı açılır, nömrə B üçün SMS kod tələb olunur (etibarlı status yalnız nömrə A-ya aiddir)</t>
  </si>
  <si>
    <t>Əsas nömrə ilə əvvəllər login olunmuş Chrome-da ikinci (yeni) nömrə daxil edildikdə OTP ekranı açıldı və kod tələb olundu (TC_AUTH_NEG_010 icrası zamanı). "Etibarlı" status yalnız əvvəlki nömrəyə aiddir. PASS.</t>
  </si>
  <si>
    <t>TC_AUTH_SEC_032</t>
  </si>
  <si>
    <t>Brauzer cookie-ləri təmizləndikdən sonra əvvəlki nömrə ilə girişdə OTP tələb olunur</t>
  </si>
  <si>
    <t>1. Brauzer ayarlarından birmarket.az cookie-lərini və saytın məlumatlarını sil
2. Giriş səhifəsini aç
3. Nömrə A-nı daxil et və "Kodu göndər"-ə klik et</t>
  </si>
  <si>
    <t>Nömrə: A</t>
  </si>
  <si>
    <t>OTP ekranı açılır, SMS kod tələb olunur</t>
  </si>
  <si>
    <t>TC_AUTH_POS_012</t>
  </si>
  <si>
    <t>Yeni telefon nömrəsi ilə qeydiyyat OTP-dən sonra ad daxil edilməklə tamamlanır</t>
  </si>
  <si>
    <t>Autentifikasiya → Qeydiyyat</t>
  </si>
  <si>
    <t>1. Brauzer: Google Chrome (son stabil versiya), incognito rejim (cookies/cache təmizdir)
2. İstifadəçi login olmayıb (Guest)
3. Dil: AZ, Şəhər: Bakı (default)
4. Giriş səhifəsi açıqdır: header-də "Qeydiyyat | Giriş" linkinə klik edilib
5. Birmarket/Bir ekosistemində qeydiyyatı olmayan telefon nömrəsi mövcuddur</t>
  </si>
  <si>
    <t>1. Yeni nömrəni daxil edib "Kodu göndər"-yə klik et
2. SMS kodu daxil et
3. Ad sahəsinə adı daxil et
4. Qeydiyyatı təsdiqlə</t>
  </si>
  <si>
    <t>Telefon: &lt;qeydiyyatsız nömrə&gt;
Ad: Test</t>
  </si>
  <si>
    <t>1. Hesab yaradılır
2. İstifadəçi login vəziyyətinə keçir, header-də "Şəxsi hesabım" görünür</t>
  </si>
  <si>
    <t>Hər icra üçün yeni real nömrə lazımdır (təkrarlana bilmir) və prod-da real hesab yaradır → yalnız manual, regression-a daxil edilmir.</t>
  </si>
  <si>
    <t>TC_REG_BVA_003</t>
  </si>
  <si>
    <t>Qeydiyyatda ad minimum uzunluq sərhədində (1 və 2 simvol) düzgün idarə olunur</t>
  </si>
  <si>
    <t>Qeydiyyat → Ad uzunluğu</t>
  </si>
  <si>
    <t>1. Brauzer: Google Chrome (son stabil versiya), incognito rejim (cookies/cache təmizdir)
2. İstifadəçi login olmayıb (Guest)
3. Dil: AZ, Şəhər: Bakı (default)
4. Giriş səhifəsi açıqdır: header-də "Qeydiyyat | Giriş" linkinə klik edilib
5. Ad daxil etmə ekranı açıqdır</t>
  </si>
  <si>
    <t>1. Ad sahəsinə 1 simvol daxil et, nəticəni qeyd et
2. Sahəni təmizlə, 2 simvol daxil et, nəticəni qeyd et</t>
  </si>
  <si>
    <t>Ad: A (min−1?)
Ad: Al (min?)</t>
  </si>
  <si>
    <t>Tələbdəki minimum uzunluqdan qısa ad rədd edilir, minimuma bərabər ad qəbul edilir (GQ_UI_16)</t>
  </si>
  <si>
    <t>Ad validasiyası yalnız yeni (qeydiyyatsız) nömrə ilə OTP-dən sonra açılır; TC-lər bir OTP sessiyasında, təsdiq etmədən ardıcıl icra olunur. Təkrarlana bilmir → manual, regression-a daxil deyil.</t>
  </si>
  <si>
    <t>TC_REG_BVA_004</t>
  </si>
  <si>
    <t>Qeydiyyatda ad maksimum uzunluqdan 1 simvol artıq olduqda qəbul edilmir</t>
  </si>
  <si>
    <t>1. Ad sahəsinə max+1 simvol daxil et
2. Sahədəki simvol sayını yoxla</t>
  </si>
  <si>
    <t>Ad: "a" × (max+1) (GQ_UI_16)</t>
  </si>
  <si>
    <t>Sahə max-dan artıq simvolu qəbul etmir və ya xəta göstərilir</t>
  </si>
  <si>
    <t>TC_REG_NEG_001</t>
  </si>
  <si>
    <t>Qeydiyyatda ad sahəsi boş olduqda qeydiyyat tamamlanmır</t>
  </si>
  <si>
    <t>Qeydiyyat → Ad validasiyası</t>
  </si>
  <si>
    <t>1. Brauzer: Google Chrome (son stabil versiya), incognito rejim (cookies/cache təmizdir)
2. İstifadəçi login olmayıb (Guest)
3. Dil: AZ, Şəhər: Bakı (default)
4. Giriş səhifəsi açıqdır: header-də "Qeydiyyat | Giriş" linkinə klik edilib
5. Qeydiyyatsız nömrə ilə OTP təsdiqlənib, ad daxil etmə ekranı açıqdır</t>
  </si>
  <si>
    <t>1. Ad sahəsini boş saxla
2. Təsdiq düyməsinin vəziyyətini yoxla / klik et</t>
  </si>
  <si>
    <t>Ad: (boş)</t>
  </si>
  <si>
    <t>Təsdiq düyməsi deaktivdir və ya "ad mütləqdir" tipli xəta göstərilir; hesab yaradılmır</t>
  </si>
  <si>
    <t>TC_REG_NEG_002</t>
  </si>
  <si>
    <t>Qeydiyyatda ada rəqəm və xüsusi simvol daxil edildikdə validasiya xətası göstərilir</t>
  </si>
  <si>
    <t>1. Ad sahəsinə test datanı daxil et
2. Nəticəni müşahidə et</t>
  </si>
  <si>
    <t>Ad: Test123@#</t>
  </si>
  <si>
    <t>Validasiya xətası göstərilir və ya simvollar qəbul edilmir (GQ_UI_16)</t>
  </si>
  <si>
    <t>TC_PRF_BVA_008</t>
  </si>
  <si>
    <t>[Login] FİN kod 6 simvol (min−1) olduqda yadda saxlanılmır</t>
  </si>
  <si>
    <t>Şəxsi kabinet → FİN kod</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</si>
  <si>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https://birmarket.az/account/profile</t>
  </si>
  <si>
    <t>1. "FİN kod" sahəsinə test datanı daxil et
2. "Yadda saxla"-ya klik et</t>
  </si>
  <si>
    <t>FİN: 5ABC12 (6 simvol)
Tələb: 7 simvol (GQ_UI_28)</t>
  </si>
  <si>
    <t>FİN kod sahəsində validasiya xətası göstərilir, dəyişiklik yadda saxlanılmır</t>
  </si>
  <si>
    <t>TC_PRF_BVA_009</t>
  </si>
  <si>
    <t>[Login] FİN kod 7 simvol (sərhəd dəyəri) olduqda qəbul edilir</t>
  </si>
  <si>
    <t>1. "FİN kod" sahəsinə test datanı daxil et
2. "Yadda saxla"-ya klik et
3. Səhifəni yenilə və sahəni oxu</t>
  </si>
  <si>
    <t>FİN: 5ABC12D (7 simvol, fiktiv)</t>
  </si>
  <si>
    <t>1. Xəta göstərilmir, uğurlu saxlanma
2. Yeniləmədən sonra FİN "5ABC12D"-dir</t>
  </si>
  <si>
    <t>TC_PRF_BVA_010</t>
  </si>
  <si>
    <t>[Login] FİN kod sahəsi 8-ci simvolu (max+1) qəbul etmir</t>
  </si>
  <si>
    <t>1. "FİN kod" sahəsinə test datanı daxil et
2. Sahədəki dəyəri oxu</t>
  </si>
  <si>
    <t>FİN: 5ABC12DE (8 simvol)</t>
  </si>
  <si>
    <t>Sahədə yalnız 7 simvol saxlanılır və ya "Yadda saxla" zamanı xəta göstərilir</t>
  </si>
  <si>
    <t>TC_PRF_BVA_014</t>
  </si>
  <si>
    <t>[Login] Təqvimdə gələcək tarix (bu gün + 1) seçilə bilmir</t>
  </si>
  <si>
    <t>Şəxsi kabinet → Doğum tarixi</t>
  </si>
  <si>
    <t>1. Təqvimi aç
2. Cari ayda bu günü və sabahı yoxla
3. Sabahı seçməyə cəhd et</t>
  </si>
  <si>
    <t>Tarix: bu gün (max), bu gün + 1 (max+1)</t>
  </si>
  <si>
    <t>1. Sabahkı və sonrakı günlər deaktivdir, seçilə bilmir
2. Minimum yaş tələbi varsa, ona uyğun sərhəd tətbiq olunur (GQ_UI_29)</t>
  </si>
  <si>
    <t>TC_PRF_NEG_003</t>
  </si>
  <si>
    <t>[Login] Profildə ad boş saxlanıldıqda dəyişiklik yadda saxlanılmır</t>
  </si>
  <si>
    <t>Şəxsi kabinet → Ad validasiyası</t>
  </si>
  <si>
    <t>1. Brauzer: Google Chrome (son stabil versiya)
2. Test hesabı Birmarket-də qeydiyyatdadır, telefon nömrəsi SMS qəbul edir (test icraçısının əlindədir)
3. İstifadəçi həmin hesabla login olub (header-də "Şəxsi hesabım" görünür)
4. Şəxsi kabinet açıqdır</t>
  </si>
  <si>
    <t>1. Ad sahəsini təmizlə
2. Yadda saxla düyməsinə klik et</t>
  </si>
  <si>
    <t>Validasiya xətası göstərilir, köhnə ad dəyişmir</t>
  </si>
  <si>
    <t>TC_PRF_NEG_004</t>
  </si>
  <si>
    <t>[Login] Profildə ada rəqəm/simvol daxil edildikdə xəta göstərilir</t>
  </si>
  <si>
    <t>1. Ad sahəsinə test datanı daxil et
2. Yadda saxla</t>
  </si>
  <si>
    <t>Ad: 12345!@</t>
  </si>
  <si>
    <t>Validasiya xətası göstərilir, ad yadda saxlanılmır (GQ_UI_16)</t>
  </si>
  <si>
    <t>TC_PRF_NEG_005</t>
  </si>
  <si>
    <t>[Login] Profildə e-poçt yanlış formatda daxil edildikdə xəta göstərilir</t>
  </si>
  <si>
    <t>Şəxsi kabinet → E-poçt validasiyası</t>
  </si>
  <si>
    <t>1. Brauzer: Google Chrome (son stabil versiya)
2. Test hesabı Birmarket-də qeydiyyatdadır, telefon nömrəsi SMS qəbul edir (test icraçısının əlindədir)
3. İstifadəçi həmin hesabla login olub (header-də "Şəxsi hesabım" görünür)
4. Şəxsi kabinet açıqdır, e-poçt sahəsi mövcuddur</t>
  </si>
  <si>
    <t>1. E-poçt sahəsinə test datanı daxil et
2. Yadda saxla</t>
  </si>
  <si>
    <t>E-poçt: test@ / test.az / @mail.com</t>
  </si>
  <si>
    <t>Hər dəyər üçün format xətası göstərilir, e-poçt yadda saxlanılmır (GQ_UI_17)</t>
  </si>
  <si>
    <t>TC_PRF_NEG_011</t>
  </si>
  <si>
    <t>[Login] FİN kodda xüsusi simvol olduqda yadda saxlanılmır</t>
  </si>
  <si>
    <t>1. "FİN kod"-a test datanı daxil et
2. "Yadda saxla"-ya klik et</t>
  </si>
  <si>
    <t>FİN: 5AB@#1D</t>
  </si>
  <si>
    <t>Validasiya xətası göstərilir, dəyər yadda saxlanılmır</t>
  </si>
  <si>
    <t>TC_PRF_NEG_012</t>
  </si>
  <si>
    <t>[Login] Doğum tarixi sahəsinə klaviatura ilə dəyər yazmaq mümkün deyil, yalnız təqvimdən seçilir</t>
  </si>
  <si>
    <t>1. "Doğum tarixi" sahəsinə klik et
2. Klaviatura ilə "01.01.2000" yazmağa cəhd et
3. Sahənin dəyərini oxu</t>
  </si>
  <si>
    <t>Daxiletmə: 01.01.2000 (klaviatura)</t>
  </si>
  <si>
    <t>1. Təqvim açılır
2. Klaviatura ilə yazılan dəyər sahəyə düşmür, əvvəlki tarix qalır</t>
  </si>
  <si>
    <t>Davranış təsdiqlənib; login (OTP) tələb edir → manual.</t>
  </si>
  <si>
    <t>TC_PRF_NEG_017</t>
  </si>
  <si>
    <t>[Login] Profil şəklinə şəkil olmayan fayl yüklənə bilmir</t>
  </si>
  <si>
    <t>Şəxsi kabinet → Profil şəkli</t>
  </si>
  <si>
    <t>1. Profil şəklindəki "Yüklə"-yə klik et
2. Test faylını seç</t>
  </si>
  <si>
    <t>Fayl: test.pdf</t>
  </si>
  <si>
    <t>Fayl qəbul edilmir, icazə verilən formatlar barədə mesaj göstərilir (GQ_UI_32)</t>
  </si>
  <si>
    <t>TC_PRF_POS_001</t>
  </si>
  <si>
    <t>[Login] Şəxsi kabinetdə istifadəçinin telefon nömrəsi login nömrəsi ilə eynidir</t>
  </si>
  <si>
    <t>Şəxsi kabinet → Profil məlumatları</t>
  </si>
  <si>
    <t>1. "Şəxsi hesabım" menyusundan "Hesab"-a klik et
2. Telefon nömrəsini və adı oxu</t>
  </si>
  <si>
    <t>Telefon: &lt;login nömrəsi&gt;</t>
  </si>
  <si>
    <t>1. "Hesab" səhifəsi açılır: https://birmarket.az/account/profile
2. "Əlaqə nömrəsi" login nömrəsi ilə eynidir
3. "Şəxsi məlumatlar" bölməsində sahələr: Ad, Soyad, FİN kod, Doğum tarixi, E-Mail, Cins (Kişi/Qadın), "Yadda saxla" düyməsi</t>
  </si>
  <si>
    <t>"Hesab" → https://birmarket.az/account/profile ("Mənim profilim"). "Əlaqə nömrəsi" login nömrəsi ilə eynidir. "Şəxsi məlumatlar": Ad, Soyad, FİN kod, Doğum tarixi, E-Mail, Cins (Kişi/Qadın), "Yadda saxla". PASS.</t>
  </si>
  <si>
    <t>TC_PRF_POS_002</t>
  </si>
  <si>
    <t>[Login] Profildə ad dəyişdirildikdə yadda saxlanılır</t>
  </si>
  <si>
    <t>Şəxsi kabinet → Adın redaktəsi</t>
  </si>
  <si>
    <t>1. Ad sahəsini redaktə et
2. Yadda saxla
3. Səhifəni yenilə
4. Adı yoxla</t>
  </si>
  <si>
    <t>Yeni ad: Test Yeni</t>
  </si>
  <si>
    <t>1. Uğurlu saxlanma mesajı göstərilir
2. Yeniləmədən sonra ad "Test Yeni"-dir</t>
  </si>
  <si>
    <t>TC_PRF_POS_007</t>
  </si>
  <si>
    <t>[Login] Bildirişlər səhifəsi şəxsi kabinetdən açılır</t>
  </si>
  <si>
    <t>Şəxsi kabinet → Bildirişlər</t>
  </si>
  <si>
    <t>1. Brauzer: Google Chrome (son stabil versiya)
2. Test hesabı Birmarket-də qeydiyyatdadır, telefon nömrəsi SMS qəbul edir (test icraçısının əlindədir)
3. İstifadəçi həmin hesabla login olub (header-də "Şəxsi hesabım" görünür)
4. Şəxsi kabinet açıqdır: https://birmarket.az/account/profile</t>
  </si>
  <si>
    <t>1. Kabinet menyusunda "Bildirişlər"-ə klik et
2. URL-i və səhifəni yoxla</t>
  </si>
  <si>
    <t>1. URL https://birmarket.az/account/notifications olur
2. Bildirişlər siyahısı və ya boş vəziyyət göstərilir</t>
  </si>
  <si>
    <t>TC_PRF_POS_013</t>
  </si>
  <si>
    <t>[Login] Təqvimdən seçilən doğum tarixi düzgün formatda yadda saxlanılır</t>
  </si>
  <si>
    <t>1. "Doğum tarixi" sahəsinə klik et
2. Təqvimdə ili, ayı və günü seç
3. "Yadda saxla"-ya klik et
4. Səhifəni yenilə</t>
  </si>
  <si>
    <t>Tarix: 15.03.1995</t>
  </si>
  <si>
    <t>Sahədə "15.03.1995" (GG.AA.İİİİ) göstərilir, yeniləmədən sonra da saxlanılır</t>
  </si>
  <si>
    <t>TC_PRF_POS_015</t>
  </si>
  <si>
    <t>[Login] "Cins" seçimində yalnız bir variant seçilə bilir və yadda saxlanılır</t>
  </si>
  <si>
    <t>Şəxsi kabinet → Cins</t>
  </si>
  <si>
    <t>1. "Kişi" seçimini et
2. "Qadın"-ın vəziyyətini yoxla
3. "Yadda saxla"-ya klik et və səhifəni yenilə</t>
  </si>
  <si>
    <t>Cins: Kişi</t>
  </si>
  <si>
    <t>1. "Kişi" seçildikdə "Qadın" seçimdən çıxır (radio)
2. Yeniləmədən sonra "Kişi" seçili qalır</t>
  </si>
  <si>
    <t>TC_PRF_POS_016</t>
  </si>
  <si>
    <t>[Login] Düzgün formatlı e-poçt yadda saxlanılır</t>
  </si>
  <si>
    <t>Şəxsi kabinet → E-Mail</t>
  </si>
  <si>
    <t>1. "E-Mail" sahəsinə test datanı daxil et
2. "Yadda saxla"-ya klik et
3. Səhifəni yenilə</t>
  </si>
  <si>
    <t>E-Mail: qa.test@example.com</t>
  </si>
  <si>
    <t>Uğurlu saxlanma; yeniləmədən sonra "qa.test@example.com" göstərilir</t>
  </si>
  <si>
    <t>TC_PRF_POS_018</t>
  </si>
  <si>
    <t>[Login] "Əlaqə nömrəsi" login nömrəsini göstərir və redaktə olunmur</t>
  </si>
  <si>
    <t>Şəxsi kabinet → Əlaqə nömrəsi</t>
  </si>
  <si>
    <t>1. "Əlaqə nömrəsi" blokunu oxu
2. Sahəni redaktə etməyə cəhd et</t>
  </si>
  <si>
    <t>1. Nömrə +994 formatında, login nömrəsi ilə eyni göstərilir
2. Sahə redaktə olunmur</t>
  </si>
  <si>
    <t>TC_ORD_POS_001</t>
  </si>
  <si>
    <t>[Login] "Mənim sifarişlərim" bölməsi şəxsi kabinetdən açılır</t>
  </si>
  <si>
    <t>Mənim sifarişlərim → Siyahı</t>
  </si>
  <si>
    <t>1. "Şəxsi hesabım" menyusunu aç
2. "Mənim sifarişlərim"-ə klik et</t>
  </si>
  <si>
    <t>Sifarişlər səhifəsi açılır (siyahı və ya boş vəziyyət)
URL: https://birmarket.az/account/orders</t>
  </si>
  <si>
    <t>TC_ORD_POS_002</t>
  </si>
  <si>
    <t>[Login] Sifarişi olmayan hesab üçün boş vəziyyət göstərilir</t>
  </si>
  <si>
    <t>Mənim sifarişlərim → Boş vəziyyət</t>
  </si>
  <si>
    <t>1. Brauzer: Google Chrome (son stabil versiya)
2. Test hesabı Birmarket-də qeydiyyatdadır, telefon nömrəsi SMS qəbul edir (test icraçısının əlindədir)
3. İstifadəçi həmin hesabla login olub (header-də "Şəxsi hesabım" görünür)
4. Hesabda heç bir sifariş yoxdur</t>
  </si>
  <si>
    <t>1. "Mənim sifarişlərim"-i aç
2. Səhifəni müşahidə et</t>
  </si>
  <si>
    <t>Sifariş olmadığı barədə mesaj göstərilir; xəta yoxdur</t>
  </si>
  <si>
    <t>TC_ORD_POS_003</t>
  </si>
  <si>
    <t>[Login] "Sifariş barədə daha ətraflı" sifarişin statusunu, məhsullarını və məbləğini göstərir</t>
  </si>
  <si>
    <t>Mənim sifarişlərim → Sifariş detalı</t>
  </si>
  <si>
    <t>1. Brauzer: Google Chrome (son stabil versiya)
2. Test hesabı Birmarket-də qeydiyyatdadır, telefon nömrəsi SMS qəbul edir (test icraçısının əlindədir)
3. İstifadəçi həmin hesabla login olub (header-də "Şəxsi hesabım" görünür)
4. Hesabda ən azı 1 keçmiş sifariş var</t>
  </si>
  <si>
    <t>1. "Mənim sifarişlərim"-i aç
2. 1-ci sifarişdə "Sifariş barədə daha ətraflı"-ya klik et
3. Detalları oxu</t>
  </si>
  <si>
    <t>1. Sifariş nömrəsi, statusu, məhsul(lar), məbləğ və çatdırılma üsulu göstərilir
2. Məbləğ = məhsul məbləğləri + çatdırılma haqqı</t>
  </si>
  <si>
    <t>Nəticə prod-da dinamik dəyişən data-dan (stok, sifariş tarixçəsi, məhsul sayı) asılıdır → avtomatlaşdırma flaky olar → manual. Həmçinin real sifariş və OTP tələb edir.</t>
  </si>
  <si>
    <t>TC_ORD_POS_004</t>
  </si>
  <si>
    <t>[Login] Sifariş üzrə problem bildirmə forması açılır</t>
  </si>
  <si>
    <t>Mənim sifarişlərim → Problem bildir</t>
  </si>
  <si>
    <t>1. Sifariş detalını aç
2. Problem bildirmə elementinə klik et
3. Formanı GÖNDƏRMƏ, bağla</t>
  </si>
  <si>
    <t>Problem bildirmə forması/kanalı açılır (göndərilmir — prod-da real müraciət yaratmamaq üçün)</t>
  </si>
  <si>
    <t>TC_CHK_NEG_009</t>
  </si>
  <si>
    <t>Guest checkout səhifəsinə birbaşa URL ilə daxil ola bilmir</t>
  </si>
  <si>
    <t>Checkout (Guest) → Birbaşa URL</t>
  </si>
  <si>
    <t>1. Brauzerdə checkout URL-ni aç
2. Açılan ekranı müşahidə et</t>
  </si>
  <si>
    <t>URL: &lt;checkout URL — A-06&gt;</t>
  </si>
  <si>
    <t>Giriş ekranına yönləndirilir və ya səbətə qaytarılır; checkout məlumatları göstərilmir</t>
  </si>
  <si>
    <t>URL ilk manual login icrasında təsdiqlənəcək (A-06); bundan sonra avtomatlaşdırma namizədidir.</t>
  </si>
  <si>
    <t>TC_CHK_POS_001</t>
  </si>
  <si>
    <t>Guest səbətdən sifarişi rəsmiləşdirməyə keçdikdə telefon nömrəsi ilə giriş tələb olunur</t>
  </si>
  <si>
    <t>Checkout → Guest</t>
  </si>
  <si>
    <t>1. "Sifarişi rəsmiləşdir" düyməsinə klik et
2. Açılan ekranı müşahidə et</t>
  </si>
  <si>
    <t>1. Telefon nömrəsi daxil etmə (giriş) ekranı açılır
2. Sifariş login olmadan yaradılmır</t>
  </si>
  <si>
    <t>Kritik axın, SMS göndərmədən yoxlanılır (nömrə daxil edilmir) → avtomatlaşdırılır. | Avtomatlaşdırılıb və 06.10.2026-da PASS olub, lakin təkrar full run-larda flaky çıxdı: production-da "Səbətə əlavə et" server tərəfində qonaq səbəti yaradır, ardıcıl run-larda nəticə deterministik deyil (rate-limit). Flaky test qəbul olunmadığı üçün Manual regression-a keçirildi (K2, K6).</t>
  </si>
  <si>
    <t>Guest "Sifarişi rəsmiləşdir" → "Davam etmək üçün daxil olun" ekranı, "Daxil ol" → BirID telefon ekranı. — Avtomat run-da PASS (06.10.2026); təkrar run-larda flaky olduğu üçün Manual regression-a keçirildi.</t>
  </si>
  <si>
    <t>TC_CHK_BVA_003</t>
  </si>
  <si>
    <t>Sifariş məbləği pulsuz çatdırılma həddindən (50 ₼) aşağı olduqda çatdırılma haqqı tətbiq olunur</t>
  </si>
  <si>
    <t>Checkout → Pulsuz çatdırılma həddi</t>
  </si>
  <si>
    <t>1. Brauzer: Google Chrome (son stabil versiya)
2. Test hesabı Birmarket-də qeydiyyatdadır, telefon nömrəsi SMS qəbul edir (test icraçısının əlindədir)
3. İstifadəçi həmin hesabla login olub (header-də "Şəxsi hesabım" görünür)
4. Səbətdə ümumi məbləği 49.00–49.99 ₼ olan məhsul(lar) var
5. Şəhər: Bakı</t>
  </si>
  <si>
    <t>1. "Sifarişi rəsmiləşdir"-ə klik et
2. Kuryer ilə çatdırılmanı seç
3. Çatdırılma haqqını oxu
4. Sifarişi TƏSDİQLƏMƏ</t>
  </si>
  <si>
    <t>Səbət məbləği: 49.xx ₼ (həddin altı)
Hədd: 50 ₼ (ana səhifədəki məlumat)</t>
  </si>
  <si>
    <t>Çatdırılma haqqı &gt; 0 ₼ göstərilir və yekun məbləğə əlavə olunur</t>
  </si>
  <si>
    <t>Dəqiq məbləğli səbət prod-da qiymətlər dəyişdiyi üçün stabil qurula bilmir + OTP login → manual.</t>
  </si>
  <si>
    <t>TC_CHK_BVA_004</t>
  </si>
  <si>
    <t>Sifariş məbləği 50 ₼ və ya daha çox olduqda çatdırılma pulsuz olur</t>
  </si>
  <si>
    <t>1. Brauzer: Google Chrome (son stabil versiya)
2. Test hesabı Birmarket-də qeydiyyatdadır, telefon nömrəsi SMS qəbul edir (test icraçısının əlindədir)
3. İstifadəçi həmin hesabla login olub (header-də "Şəxsi hesabım" görünür)
4. Səbətdə ümumi məbləği 50.00–51.00 ₼ olan məhsul(lar) var
5. Şəhər: Bakı</t>
  </si>
  <si>
    <t>Səbət məbləği: 50.xx ₼ (hədd və ya hədd+)
Hədd: 50 ₼</t>
  </si>
  <si>
    <t>Çatdırılma haqqı 0 ₼ / "Pulsuz" göstərilir</t>
  </si>
  <si>
    <t>Dəqiq məbləğli səbət prod-da stabil qurula bilmir + OTP login → manual.</t>
  </si>
  <si>
    <t>TC_CHK_NEG_006</t>
  </si>
  <si>
    <t>[Login] Kuryer çatdırılmasında ünvan daxil edilmədən davam etmək mümkün deyil</t>
  </si>
  <si>
    <t>Checkout (Login) → Ünvan validasiyası</t>
  </si>
  <si>
    <t>1. Brauzer: Google Chrome (son stabil versiya)
2. Test hesabı Birmarket-də qeydiyyatdadır, telefon nömrəsi SMS qəbul edir (test icraçısının əlindədir)
3. İstifadəçi həmin hesabla login olub (header-də "Şəxsi hesabım" görünür)
4. Səbətdə 1 məhsul var, checkout səhifəsi açıqdır, hesabda saxlanmış ünvan yoxdur</t>
  </si>
  <si>
    <t>1. Kuryer çatdırılmasını seç
2. Ünvan sahələrini boş saxla
3. Növbəti addıma/təsdiqə keçməyə cəhd et</t>
  </si>
  <si>
    <t>Ünvan: (boş)</t>
  </si>
  <si>
    <t>Ünvanın mütləq olduğu barədə validasiya xətası göstərilir, sifariş yaradılmır</t>
  </si>
  <si>
    <t>OTP login tələb edir, prod-da sifariş riski var → manual.</t>
  </si>
  <si>
    <t>TC_CHK_POS_002</t>
  </si>
  <si>
    <t>Login istifadəçi checkout səhifəsində çatdırılma/ödəniş üsullarını və səbət məbləğini görür</t>
  </si>
  <si>
    <t>Checkout → Login</t>
  </si>
  <si>
    <t>1. Səbət səhifəsində ümumi məbləği qeyd et
2. "Sifariş et" düyməsinə klik et
3. Checkout səhifəsini yoxla
4. Sifarişi TƏSDİQLƏMƏ, səhifəni bağla</t>
  </si>
  <si>
    <t>1. Çatdırılma üsulları (kuryer / təhvil məntəqəsi) göstərilir
2. Ödəniş üsulları göstərilir
3. Məhsul məbləği = səbətdəki məbləğ</t>
  </si>
  <si>
    <t>OTP login tələb edir; prod-da real sifariş yaratmaq qadağandır → manual regression.</t>
  </si>
  <si>
    <t>Səbət: 56.35 ₼ (3 məhsul). "Sifariş et" (düymənin faktiki adı) → checkout: səbət satıcılara görə 3 sifarişə bölünür. Çatdırılma: "Kuryerlə çatdırılma" / "Təhvil məntəqəsindən özün götür" (pulsuz), bir sifarişdə "Ekspress — bu gün 1 saat ərzində, 4.99 ₼"; saxlanmış ünvan təklif olunur, "Ünvan bütün sifarişlərə tətbiq edilsin?" pəncərəsi, tarix/vaxt intervalları (09:00–15:00, 15:00–21:00). Ödəniş üsulları: Bank kartı ilə onlayn, Kredit (əvvəlcədən təsdiqlənmiş limit), Birbank taksit kartı, Təhvil alarkən bank kartı (default). Toplam ödəniş 56.85 ₼ = 56.35 + 0.50 ₼ "Paket" (satıcı paket haqqı yalnız checkout-da görünür). Sifariş təsdiqlənmədi. PASS.</t>
  </si>
  <si>
    <t>TC_CHK_POS_005</t>
  </si>
  <si>
    <t>[Login] Təhvil məntəqəsi çatdırılma üsulu seçildikdə məntəqə seçimi mümkündür</t>
  </si>
  <si>
    <t>Checkout (Login) → Təhvil məntəqəsi</t>
  </si>
  <si>
    <t>1. Brauzer: Google Chrome (son stabil versiya)
2. Test hesabı Birmarket-də qeydiyyatdadır, telefon nömrəsi SMS qəbul edir (test icraçısının əlindədir)
3. İstifadəçi həmin hesabla login olub (header-də "Şəxsi hesabım" görünür)
4. Səbətdə 1 məhsul var, checkout səhifəsi açıqdır</t>
  </si>
  <si>
    <t>1. Çatdırılma üsulu kimi təhvil məntəqəsini seç
2. Siyahıdan/xəritədən məntəqə seç
3. Sifarişi TƏSDİQLƏMƏ</t>
  </si>
  <si>
    <t>1. Məntəqələr siyahısı/xəritəsi açılır
2. Seçilmiş məntəqənin ünvanı checkout-da göstərilir</t>
  </si>
  <si>
    <t>OTP login tələb edir, prod-da sifariş təsdiqlənmir → manual.</t>
  </si>
  <si>
    <t>TC_CHK_POS_007</t>
  </si>
  <si>
    <t>[Login] Checkout-dan səbətə qayıdıb miqdar dəyişdirildikdə checkout məbləği yenilənir</t>
  </si>
  <si>
    <t>Checkout (Login) → Məbləğin yenilənməsi</t>
  </si>
  <si>
    <t>1. Brauzer: Google Chrome (son stabil versiya)
2. Test hesabı Birmarket-də qeydiyyatdadır, telefon nömrəsi SMS qəbul edir (test icraçısının əlindədir)
3. İstifadəçi həmin hesabla login olub (header-də "Şəxsi hesabım" görünür)
4. Səbətdə 1 məhsul var (miqdar 1)</t>
  </si>
  <si>
    <t>1. Checkout-a keç, məbləği qeyd et
2. Səbətə qayıt, miqdarı 2 et
3. Yenidən checkout-a keç, məbləği oxu
4. Sifarişi TƏSDİQLƏMƏ</t>
  </si>
  <si>
    <t>Checkout-dakı məhsul məbləği = vahid qiymət × 2</t>
  </si>
  <si>
    <t>Pul hesablaması; amma OTP login və prod sifariş riski → manual.</t>
  </si>
  <si>
    <t>TC_CHK_POS_008</t>
  </si>
  <si>
    <t>[Login] Fərqli satıcıların məhsulları checkout-da ayrı sifarişlər kimi göstərilir</t>
  </si>
  <si>
    <t>Checkout (Login) → Satıcıya görə bölünmə</t>
  </si>
  <si>
    <t>1. Brauzer: Google Chrome (son stabil versiya)
2. Test hesabı Birmarket-də qeydiyyatdadır, telefon nömrəsi SMS qəbul edir (test icraçısının əlindədir)
3. İstifadəçi həmin hesabla login olub (header-də "Şəxsi hesabım" görünür)
4. Səbətdə fərqli satıcılara aid 2 məhsul var</t>
  </si>
  <si>
    <t>1. Checkout-a keç
2. Sifariş bloklarını yoxla
3. Sifarişi TƏSDİQLƏMƏ</t>
  </si>
  <si>
    <t>Hər satıcının məhsulu ayrıca sifariş kimi, öz çatdırılma/ödəmə seçimi ilə göstərilir (saytdakı "Necə sifariş etmək olar" qaydasına əsasən)</t>
  </si>
  <si>
    <t>TC_FTR_POS_001</t>
  </si>
  <si>
    <t>Footer-dəki "Çatdırılma və ödəmə" linki müvafiq məlumat səhifəsini açır</t>
  </si>
  <si>
    <t>Footer → Məlumat səhifələri</t>
  </si>
  <si>
    <t>1. Səhifənin aşağısına scroll et
2. "Çatdırılma və ödəmə" linkinə klik et
3. URL-i və başlığı yoxla</t>
  </si>
  <si>
    <t>1. URL "/shipping-payment" ehtiva edir
2. Səhifə başlığı "Çatdırılma və ödəmə"-dir</t>
  </si>
  <si>
    <t>Statik məzmun, nadir dəyişir, biznes riski aşağıdır → manual, regression-a daxil deyil.</t>
  </si>
  <si>
    <t>TC_FTR_POS_002</t>
  </si>
  <si>
    <t>Footer-dəki "Birmarket təhvil məntəqələrinin siyahısı" linki məntəqələr səhifəsini açır</t>
  </si>
  <si>
    <t>Footer → Təhvil məntəqələri</t>
  </si>
  <si>
    <t>1. Footer-ə scroll et
2. Linkə klik et
3. Səhifəni yoxla</t>
  </si>
  <si>
    <t>1. URL "/pick-up-points" ehtiva edir
2. Ən azı 1 təhvil məntəqəsi göstərilir</t>
  </si>
  <si>
    <t>TC_FTR_POS_003</t>
  </si>
  <si>
    <t>Footer-dəki "Ən çox verilən suallar" linki FAQ səhifəsini açır</t>
  </si>
  <si>
    <t>Footer → FAQ</t>
  </si>
  <si>
    <t>1. URL "/questions-answers" ehtiva edir
2. Sual-cavab bölmələri göstərilir</t>
  </si>
  <si>
    <t>TC_ACC_NEG_001</t>
  </si>
  <si>
    <t>Guest şəxsi kabinet URL-ini birbaşa açdıqda giriş ekranına yönləndirilir</t>
  </si>
  <si>
    <t>Giriş nəzarəti → Şəxsi kabinet</t>
  </si>
  <si>
    <t>1. Brauzerdə şəxsi kabinet URL-ni aç
2. URL-i və ekranı yoxla</t>
  </si>
  <si>
    <t>URL: https://birmarket.az/account/profile</t>
  </si>
  <si>
    <t>1. Giriş ekranı (telefon sahəsi) açılır
2. Heç bir şəxsi məlumat göstərilmir</t>
  </si>
  <si>
    <t>Təhlükəsizlik regression-u; login tələb etmir, deterministikdir → avtomatlaşdırılır (URL A-06 ilə təsdiqləndikdən sonra).</t>
  </si>
  <si>
    <t>/account → "Davam etmək üçün daxil olun" ekranı; "Daxil ol" → BirID telefon ekranı. Kabinet datası göstərilmir. PASS (TC_ACC_NEG_005 data-driven run).</t>
  </si>
  <si>
    <t>TC_ACC_NEG_002</t>
  </si>
  <si>
    <t>Guest "Mənim sifarişlərim" URL-ini birbaşa açdıqda giriş ekranına yönləndirilir</t>
  </si>
  <si>
    <t>Giriş nəzarəti → Sifarişlər</t>
  </si>
  <si>
    <t>1. Brauzerdə sifarişlər URL-ni aç
2. URL-i və ekranı yoxla</t>
  </si>
  <si>
    <t>URL: https://birmarket.az/account/orders</t>
  </si>
  <si>
    <t>1. Giriş ekranı açılır
2. Heç bir sifariş məlumatı göstərilmir</t>
  </si>
  <si>
    <t>Təhlükəsizlik regression-u; login tələb etmir, deterministikdir → avtomatlaşdırılır.</t>
  </si>
  <si>
    <t>/account/orders → "Davam etmək üçün daxil olun" ekranı; "Daxil ol" → BirID telefon ekranı. PASS (TC_ACC_NEG_005 data-driven run).</t>
  </si>
  <si>
    <t>TC_ACC_NEG_003</t>
  </si>
  <si>
    <t>[Login→Logout] Logout-dan sonra kabinet URL-i birbaşa açıldıqda giriş tələb olunur</t>
  </si>
  <si>
    <t>Giriş nəzarəti → Logout sonrası</t>
  </si>
  <si>
    <t>1. Kabinet URL-ni qeyd et
2. Logout et
3. Qeyd edilmiş URL-i yeni tabda aç</t>
  </si>
  <si>
    <t>Giriş ekranı açılır, kabinet məlumatları göstərilmir</t>
  </si>
  <si>
    <t>TC_ACC_NEG_004</t>
  </si>
  <si>
    <t>Guest bildirişlər səhifəsini birbaşa açdıqda giriş ekranına yönləndirilir</t>
  </si>
  <si>
    <t>Giriş nəzarəti → Bildirişlər</t>
  </si>
  <si>
    <t>1. Brauzerdə bildirişlər URL-ni aç
2. URL-i və ekranı yoxla</t>
  </si>
  <si>
    <t>URL: https://birmarket.az/account/notifications</t>
  </si>
  <si>
    <t>1. Giriş ekranı açılır
2. Heç bir bildiriş göstərilmir</t>
  </si>
  <si>
    <t>Təhlükəsizlik regression-u; login tələb etmir, deterministikdir → avtomatlaşdırılır. | Avtomatlaşdırma cəhdindən sonra Manual-a keçirildi: Bildirişlər URL-i guest üçün təsdiqlənməyib.</t>
  </si>
  <si>
    <t>TC_ACC_NEG_005</t>
  </si>
  <si>
    <t>Guest qalan bütün şəxsi hesab səhifələrini birbaşa açdıqda giriş ekranına yönləndirilir (data-driven)</t>
  </si>
  <si>
    <t>Giriş nəzarəti → Bütün kabinet səhifələri</t>
  </si>
  <si>
    <t>1. Test datadakı hər URL-i ayrıca brauzerdə aç
2. Hər biri üçün URL-i və ekranı yoxla</t>
  </si>
  <si>
    <t>https://birmarket.az/account/addresses
https://birmarket.az/account/promocodes
https://birmarket.az/account/reviews
https://birmarket.az/account/loan-applications
https://birmarket.az/account/messages
https://birmarket.az/account/id-card
https://birmarket.az/account/transaction-history
(Hər URL ayrıca iterasiya — data-driven)</t>
  </si>
  <si>
    <t>Hər URL üçün: giriş ekranı açılır, heç bir şəxsi məlumat (ünvan, bonus balansı, kart nömrəsi, mesaj) göstərilmir</t>
  </si>
  <si>
    <t>Təhlükəsizlik regression-u; login tələb etmir, deterministikdir, data-driven test kimi bir metodla əhatə olunur → avtomatlaşdırılır.</t>
  </si>
  <si>
    <t>/account, /account/orders, /account/id-card URL-lərinin hər biri giriş tələb edir ("Davam etmək üçün daxil olun" → BirID). PASS (3/3).</t>
  </si>
  <si>
    <t>TC_XBR_UI_001</t>
  </si>
  <si>
    <t>Mobil ekran ölçüsündə (375px) əsas səhifələr düzgün göstərilir</t>
  </si>
  <si>
    <t>Responsive → Mobil görünüş</t>
  </si>
  <si>
    <t>1. Brauzer: Google Chrome (son stabil versiya), incognito rejim (cookies/cache təmizdir)
2. İstifadəçi login olmayıb (Guest)
3. Dil: AZ, Şəhər: Bakı (default)
4. Chrome DevTools → Device: iPhone SE (375×667)</t>
  </si>
  <si>
    <t>1. Ana səhifəni aç
2. Kateqoriya səhifəsini aç
3. PDP-ni aç
4. Hər səhifədə üfüqi scroll və elementlərin üst-üstə düşməsini yoxla</t>
  </si>
  <si>
    <t>Viewport: 375×667</t>
  </si>
  <si>
    <t>1. Üfüqi scroll yoxdur
2. Elementlər üst-üstə düşmür, mətnlər kəsilmir
3. Header mobil menyu formasında göstərilir</t>
  </si>
  <si>
    <t>TC_XBR_UI_002</t>
  </si>
  <si>
    <t>Əsas alış axını (axtarış → PDP → səbət) fərqli brauzerlərdə işləyir</t>
  </si>
  <si>
    <t>Cross-browser → Əsas axın</t>
  </si>
  <si>
    <t>1. Brauzer: Google Chrome (son stabil versiya), incognito rejim (cookies/cache təmizdir)
2. İstifadəçi login olmayıb (Guest)
3. Dil: AZ, Şəhər: Bakı (default)
4. Brauzerlər quraşdırılıb: Chrome, Firefox, Edge, Safari</t>
  </si>
  <si>
    <t>1. Hər brauzerdə "iphone" axtar
2. İlk məhsulun PDP-sini aç
3. Məhsulu səbətə əlavə et
4. Səbəti yoxla</t>
  </si>
  <si>
    <t>Brauzerlər: Chrome, Firefox, Edge, Safari (son versiyalar)</t>
  </si>
  <si>
    <t>Bütün brauzerlərdə axın xətasız tamamlanır, səbət sayğacı = 1, layout pozulmur</t>
  </si>
  <si>
    <t>Release səviyyəsində bir dəfə icra olunur; verilmiş avtomatlaşdırma arxitekturası tək brauzer üçündür → manual.</t>
  </si>
  <si>
    <t>TC_ADR_BVA_009</t>
  </si>
  <si>
    <t>[Login] "Ünvan adı" maksimum uzunluqdan artıq simvolu qəbul etmir</t>
  </si>
  <si>
    <t>Mənim ünvanlarım → Ünvan adı</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</si>
  <si>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https://birmarket.az/account/addresses</t>
  </si>
  <si>
    <t>1. "Ünvan adı"-na max+1 simvol daxil et
2. Sahədəki simvol sayını yoxla</t>
  </si>
  <si>
    <t>Ünvan adı: "a" × (max+1) (GQ_UI_31)</t>
  </si>
  <si>
    <t>TC_ADR_EDGE_008</t>
  </si>
  <si>
    <t>[Login] "Ünvan adı"-na yalnız boşluq daxil edildikdə sahə boş sayılır</t>
  </si>
  <si>
    <t>1. "Ünvan adı"-na yalnız boşluqlar daxil et
2. Ünvanı düzgün seç
3. "Ünvan əlavə etmək"-ə klik et</t>
  </si>
  <si>
    <t>Ünvan adı: "   " (3 boşluq)</t>
  </si>
  <si>
    <t>"Ünvan adı" altında "Bu xana vacibdir" göstərilir, ünvan əlavə olunmur</t>
  </si>
  <si>
    <t>TC_ADR_NEG_002</t>
  </si>
  <si>
    <t>[Login] Bütün sahələr boş olduqda "Ünvan əlavə etmək" məcburi sahələr üçün xəta göstərir</t>
  </si>
  <si>
    <t>Mənim ünvanlarım → Məcburi sahələr</t>
  </si>
  <si>
    <t>1. Bütün sahələri boş saxla
2. "Ünvan əlavə etmək" düyməsinə klik et
3. Hər sahənin altını yoxla</t>
  </si>
  <si>
    <t>Ünvan adı: (boş)
Ünvan və evin nömrəsi: (boş)
Blok / mənzil / digər: (boş)</t>
  </si>
  <si>
    <t>1. "Ünvan adı" altında "Bu xana vacibdir"
2. "Ünvan və evin nömrəsi" altında "Bu xana vacibdir"
3. "Blok / mənzil / digər" altında xəta yoxdur (ixtiyari sahə)
4. Ünvan əlavə olunmur</t>
  </si>
  <si>
    <t>Boş formada "Ünvan əlavə etmək": "Ünvan adı" və "Ünvan və evin nömrəsi" altında "Bu xana vacibdir"; "Blok / mənzil / digər" altında xəta yoxdur; ünvan əlavə olunmadı. Formada "Diqqət: Çatdırılma ərazisi: Bakı, Sumqayıt, Abşeron" xəbərdarlığı var. PASS.</t>
  </si>
  <si>
    <t>TC_ADR_NEG_003</t>
  </si>
  <si>
    <t>[Login] Yalnız "Ünvan adı" boş olduqda xəta yalnız həmin sahədə göstərilir</t>
  </si>
  <si>
    <t>1. "Ünvan və evin nömrəsi" sahəsində Bakı ünvanını axtar və təkliflərdən seç
2. "Ünvan adı"-nı boş saxla
3. "Ünvan əlavə etmək"-ə klik et</t>
  </si>
  <si>
    <t>Ünvan adı: (boş)
Ünvan: Bakı daxilində mövcud küçə və ev nömrəsi</t>
  </si>
  <si>
    <t>1. Yalnız "Ünvan adı" altında "Bu xana vacibdir"
2. Ünvan sahəsində xəta yoxdur
3. Ünvan əlavə olunmur</t>
  </si>
  <si>
    <t>TC_ADR_NEG_004</t>
  </si>
  <si>
    <t>[Login] Yalnız "Ünvan və evin nömrəsi" boş olduqda xəta yalnız həmin sahədə göstərilir</t>
  </si>
  <si>
    <t>1. "Ünvan adı" sahəsinə dəyər daxil et
2. Ünvan sahəsini boş saxla
3. "Ünvan əlavə etmək"-ə klik et</t>
  </si>
  <si>
    <t>Ünvan adı: Ev
Ünvan: (boş)</t>
  </si>
  <si>
    <t>1. Yalnız "Ünvan və evin nömrəsi" altında "Bu xana vacibdir"
2. "Ünvan adı" sahəsində xəta yoxdur
3. Ünvan əlavə olunmur</t>
  </si>
  <si>
    <t>TC_ADR_NEG_005</t>
  </si>
  <si>
    <t>[Login] Mövcud olmayan ünvan daxil edildikdə dəqiqləşdirmə xətası göstərilir və ünvan əlavə olunmur</t>
  </si>
  <si>
    <t>Mənim ünvanlarım → Ünvan validasiyası</t>
  </si>
  <si>
    <t>1. "Ünvan adı"-na dəyər daxil et
2. "Ünvan və evin nömrəsi"-nə mənasız mətn yaz
3. "Ok" düyməsinə klik et
4. Xəta mətnini oxu</t>
  </si>
  <si>
    <t>Ünvan adı: Ev
Ünvan: fbvfdfg</t>
  </si>
  <si>
    <t>1. Ünvanın dəqiq olmadığı barədə xəta göstərilir
2. Mesajda istinad edilən düymə/link formada həqiqətən mövcuddur və mətn düzgün Azərbaycan dilindədir
3. Ünvan əlavə olunmur
Faktiki: "Ünvan dəqiq deyil. Ünvan düzgündürsə, "təsdiqləmək" düyməsini tıklayın və ya ünvanı xəritədə seçin." — formada "təsdiqləmək" düyməsi yoxdur, "tıklayın" türkcədir → BUG_002</t>
  </si>
  <si>
    <t>FAIL — Mesajda formada olmayan "təsdiqləmək" düyməsinə istinad var, "tıklayın" türkcədir. Bax: BUG_002.</t>
  </si>
  <si>
    <t>TC_ADR_NEG_007</t>
  </si>
  <si>
    <t>[Login] Çatdırılma ərazisindən kənar ünvan (Gəncə) əlavə edilə bilmir</t>
  </si>
  <si>
    <t>Mənim ünvanlarım → Çatdırılma ərazisi</t>
  </si>
  <si>
    <t>1. "Ünvan adı"-na dəyər daxil et
2. Ünvan sahəsinə Gəncə ünvanını yaz və axtar
3. "Ünvan əlavə etmək"-ə klik et</t>
  </si>
  <si>
    <t>Ünvan adı: Gəncə
Ünvan: Gəncə, Atatürk prospekti</t>
  </si>
  <si>
    <t>Ünvan qəbul edilmir və ya çatdırılma ərazisinin (Bakı, Sumqayıt, Abşeron) xaricində olduğu bildirilir (GQ_UI_30)</t>
  </si>
  <si>
    <t>TC_ADR_POS_001</t>
  </si>
  <si>
    <t>[Login] "Mənim ünvanlarım" səhifəsində yeni ünvan forması bütün elementlərlə göstərilir</t>
  </si>
  <si>
    <t>Mənim ünvanlarım → Forma</t>
  </si>
  <si>
    <t>1. Səhifə başlığını oxu
2. Formanın sahələrini və düymələrini yoxla</t>
  </si>
  <si>
    <t>1. Başlıq "Mənim ünvanlarım", alt başlıq "Sifarişlərin çatdırılması üçün ünvanlar"
2. Sahələr: "Ünvan adı" (ipucu: Məsələn "Ev" və ya "İş"), "Ünvan və evin nömrəsi", "Blok / mənzil / digər"
3. "Diqqət" bloku: "Çatdırılma ərazisi: Bakı, Sumqayıt, Abşeron"
4. "Ünvanı xəritədə seçmək" linki, "Əsas kimi istifadə etmək" checkbox-u
5. "Ünvan əlavə etmək" və "İmtina" düymələri</t>
  </si>
  <si>
    <t>TC_ADR_POS_006</t>
  </si>
  <si>
    <t>[Login] Bakı daxilində düzgün ünvan təkliflərdən seçilərək uğurla əlavə olunur</t>
  </si>
  <si>
    <t>Mənim ünvanlarım → Ünvan əlavə etmə</t>
  </si>
  <si>
    <t>1. "Ünvan adı"-na dəyər daxil et
2. "Ünvan və evin nömrəsi"-nə küçə adını yaz və təkliflərdən birini seç
3. "Blok / mənzil / digər"-ə dəyər daxil et
4. "Ünvan əlavə etmək"-ə klik et
5. Ünvanlar siyahısını yoxla</t>
  </si>
  <si>
    <t>Ünvan adı: Test-İş
Ünvan: Bakı, Nizami küçəsi (təklifdən)
Blok/mənzil: 5</t>
  </si>
  <si>
    <t>1. Xəta göstərilmir
2. Siyahıda "Test-İş" adlı ünvan seçilmiş küçə və "5" ilə göstərilir</t>
  </si>
  <si>
    <t>Ünvan adı "test-ish", ünvan təklifdən seçildi, blok/mənzil "5". Qeyri-dəqiq təklif seçildikdə xəritə pəncərəsi açılır ("Üzr istəyirik, bu ünvan dəqiq deyil" → "Olduğu kimi saxlamaq və davam etmək"). Ünvan siyahıda göründü; redaktə formasında bütün dəyərlər (o cümlədən "5") saxlanılıb. Müşahidə: blok/mənzil siyahıda göstərilmir (checkout-da "…145 , 5" kimi görünür). PASS.</t>
  </si>
  <si>
    <t>TC_ADR_POS_010</t>
  </si>
  <si>
    <t>[Login] "Ünvanı xəritədə seçmək" ilə seçilən nöqtə ünvan sahəsini doldurur</t>
  </si>
  <si>
    <t>Mənim ünvanlarım → Xəritə</t>
  </si>
  <si>
    <t>1. "Ünvanı xəritədə seçmək"-ə klik et
2. Xəritədə Bakı daxilində nöqtə seç və təsdiqlə
3. "Ünvan və evin nömrəsi" sahəsini oxu</t>
  </si>
  <si>
    <t>Nöqtə: Bakı mərkəzi</t>
  </si>
  <si>
    <t>Xəritə açılır; seçilmiş nöqtənin ünvanı sahəyə yazılır</t>
  </si>
  <si>
    <t>Xəritə (üçüncü tərəf komponenti) ilə qarşılıqlı əlaqə avtomatlaşdırmada qeyri-stabildir + login → manual.</t>
  </si>
  <si>
    <t>TC_ADR_POS_011</t>
  </si>
  <si>
    <t>[Login] "Əsas kimi istifadə etmək" seçilmiş ünvan checkout-da default seçilir</t>
  </si>
  <si>
    <t>Mənim ünvanlarım → Əsas ünvan</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</si>
  <si>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https://birmarket.az/account/addresses
5. Hesabda ən azı 1 başqa ünvan var
6. Səbətdə 1 məhsul var</t>
  </si>
  <si>
    <t>1. Yeni ünvanı "Əsas kimi istifadə etmək" seçilmiş halda əlavə et
2. Səbətə keç və "Sifarişi rəsmiləşdir"-ə klik et
3. Seçilmiş çatdırılma ünvanını yoxla
4. Sifarişi TƏSDİQLƏMƏ</t>
  </si>
  <si>
    <t>Ünvan adı: Əsas-Test</t>
  </si>
  <si>
    <t>1. Ünvanlar siyahısında yeni ünvan əsas kimi işarələnir
2. Checkout-da "Əsas-Test" ünvanı default seçilir ("Susmaya görə sifarişlər bu ünvana çatdırılacaq")</t>
  </si>
  <si>
    <t>Ünvanlar ↔ checkout inteqrasiyası; login və prod checkout tələb edir → manual.</t>
  </si>
  <si>
    <t>TC_ADR_POS_012</t>
  </si>
  <si>
    <t>[Login] "İmtina" düyməsi formanı yadda saxlamadan təmizləyir</t>
  </si>
  <si>
    <t>Mənim ünvanlarım → İmtina</t>
  </si>
  <si>
    <t>1. Ünvan adlarının sayını qeyd et
2. Formanı doldur
3. "İmtina"-ya klik et
4. Siyahını və formanı yoxla</t>
  </si>
  <si>
    <t>Ünvan adı: İmtina-Test</t>
  </si>
  <si>
    <t>1. "İmtina-Test" ünvanı siyahıya əlavə olunmur
2. Ünvan sayı dəyişmir</t>
  </si>
  <si>
    <t>TC_ADR_POS_013</t>
  </si>
  <si>
    <t>[Login] Saxlanmış ünvan silindikdə siyahıdan çıxır</t>
  </si>
  <si>
    <t>Mənim ünvanlarım → Silmə</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</si>
  <si>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https://birmarket.az/account/addresses
5. "Test-İş" ünvanı saxlanılıb</t>
  </si>
  <si>
    <t>1. "Test-İş" ünvanının silmə elementinə klik et
2. Təsdiq soruşulursa təsdiqlə
3. Siyahını yoxla
4. Səhifəni yenilə</t>
  </si>
  <si>
    <t>"Test-İş" ünvanı siyahıda görünmür (yeniləmədən sonra da) (GQ_UI_34)</t>
  </si>
  <si>
    <t>TC_KAB_POS_001</t>
  </si>
  <si>
    <t>[Login] Promokodu olmayan hesab üçün "Aktiv promokod mövcud deyil" göstərilir</t>
  </si>
  <si>
    <t>Kabinet → Promokodlar</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</si>
  <si>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https://birmarket.az/account/promocodes
5. Hesabda aktiv promokod yoxdur</t>
  </si>
  <si>
    <t>1. Səhifə başlığını və məzmunu oxu</t>
  </si>
  <si>
    <t>1. Başlıq: "Mənim promokodlarım"
2. Mətn: "Aktiv promokod mövcud deyil"</t>
  </si>
  <si>
    <t>TC_KAB_POS_002</t>
  </si>
  <si>
    <t>[Login] Çatdırılmış məhsul olmadıqda "Rəy yazmaq" tabında boş vəziyyət və alış-veriş düyməsi göstərilir</t>
  </si>
  <si>
    <t>Kabinet → Rəylər / Rəy yazmaq</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</si>
  <si>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https://birmarket.az/account/reviews
5. Hesabda çatdırılmış sifariş yoxdur</t>
  </si>
  <si>
    <t>1. "Rəy yazmaq" tabını aç
2. Məzmunu oxu
3. "Alış-verişə başla"-ya klik et</t>
  </si>
  <si>
    <t>1. Başlıq "Məhsullara rəylərim"; tablar: "Rəy yazmaq", "Mənim rəylərim"
2. Mətn: "Çatdırılmış məhsul yoxdur"
3. "Alış-verişə başla" məhsul kataloqunu açır</t>
  </si>
  <si>
    <t>TC_KAB_POS_003</t>
  </si>
  <si>
    <t>[Login] "Mənim rəylərim" tabındakı "Rəy yazmaq" düyməsi "Rəy yazmaq" tabına keçirir</t>
  </si>
  <si>
    <t>Kabinet → Rəylər / Mənim rəylərim</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</si>
  <si>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https://birmarket.az/account/reviews
5. Hesabın heç bir rəyi yoxdur</t>
  </si>
  <si>
    <t>1. "Mənim rəylərim" tabını aç
2. Boş vəziyyət mətnini oxu
3. "Rəy yazmaq" düyməsinə klik et</t>
  </si>
  <si>
    <t>1. Mətn: "Rəylərin bizim üçün vacibdir"
2. Klikdən sonra "Rəy yazmaq" tabı aktiv olur</t>
  </si>
  <si>
    <t>Davranış təsdiqlənib; login tələb edir → manual.</t>
  </si>
  <si>
    <t>TC_KAB_POS_004</t>
  </si>
  <si>
    <t>[Login] Kredit müraciəti olmayan hesab üçün boş vəziyyət göstərilir</t>
  </si>
  <si>
    <t>Kabinet → Kredit müraciətləri</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</si>
  <si>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https://birmarket.az/account/loan-applications
5. Hesabın kredit müraciəti yoxdur</t>
  </si>
  <si>
    <t>1. Başlığı və məzmunu oxu</t>
  </si>
  <si>
    <t>1. Başlıq: "Kredit müraciətlərim:"
2. Mətn: "Kredit müraciətləri yoxdur"</t>
  </si>
  <si>
    <t>TC_KAB_POS_005</t>
  </si>
  <si>
    <t>[Login] Mesajı olmayan hesab üçün boş vəziyyət və istiqamətləndirici mətn göstərilir</t>
  </si>
  <si>
    <t>Kabinet → Mesaj</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</si>
  <si>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https://birmarket.az/account/messages
5. Hesabın mesajı yoxdur</t>
  </si>
  <si>
    <t>1. Başlıq: "Mesaj"
2. Mətn: "Hələ ki mesajınız yoxdur"
3. Satıcılara sualın məhsul səhifəsindən və ya "Sifarişlərim"-dən verilə biləcəyi izah olunur</t>
  </si>
  <si>
    <t>TC_KAB_POS_006</t>
  </si>
  <si>
    <t>[Login] Kabinetin sol menyusundakı hər bənd müvafiq səhifəni açır və aktiv bənd vurğulanır</t>
  </si>
  <si>
    <t>Kabinet → Sol menyu naviqasiyası</t>
  </si>
  <si>
    <t>1. Sol menyuda hər bəndə ardıcıl klik et
2. Hər klikdən sonra URL-i və aktiv (qalın) bəndi yoxla</t>
  </si>
  <si>
    <t>Hesab → /account/profile
Mənim sifarişlərim → /account/orders
Mesaj → /account/messages
Promokodlar → /account/promocodes
Kredit müraciətləri → /account/loan-applications
Mənim rəylərim → /account/reviews
Mənim ünvanlarım → /account/addresses
Mənim ID kartım → /account/id-card
Əməliyyat tarixçəsi → /account/transaction-history</t>
  </si>
  <si>
    <t>Hər bənd test datadakı URL-i açır və həmin bənd menyuda qalın göstərilir</t>
  </si>
  <si>
    <t>TC_BON_POS_001</t>
  </si>
  <si>
    <t>[Login] Bonus kartı səhifəsində balans, kart nömrəsi və məzənnə göstərilir; balans iki yerdə eynidir</t>
  </si>
  <si>
    <t>Bir Bonus → ID kart</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</si>
  <si>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https://birmarket.az/account/id-card</t>
  </si>
  <si>
    <t>1. Kart blokunda "Sizin bonus xallarınız" dəyərini oxu
2. Dairəvi göstəricidəki bonus dəyərini oxu
3. Kart nömrəsini və məzənnəni oxu</t>
  </si>
  <si>
    <t>1. Başlıq "Bonus kartı"
2. Kartdakı balans = dairədəki balans
3. Kart nömrəsi göstərilir
4. "1 bonus = 1 manat" mətni göstərilir</t>
  </si>
  <si>
    <t>Şəxsi bonus/maliyyə məlumatları istifadəçiyə görə dəyişir və login (OTP) tələb edir → manual.</t>
  </si>
  <si>
    <t>TC_BON_POS_002</t>
  </si>
  <si>
    <t>[Login] "Son əməliyyatlar" cədvəli düzgün sütunlarla və tarixə görə azalan sırada göstərilir</t>
  </si>
  <si>
    <t>Bir Bonus → Son əməliyyatlar</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</si>
  <si>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https://birmarket.az/account/id-card
5. Hesabda ən azı 2 bonus əməliyyatı var</t>
  </si>
  <si>
    <t>1. Cədvəl başlıqlarını oxu
2. Sətirlərin tarixlərini oxu</t>
  </si>
  <si>
    <t>1. Sütunlar: Tarix, Tərəfdaş, Əməliyyat məbləği AZN, Bonus %, Bonuslar
2. Tarixlər azalan sıradadır (ən yenisi yuxarıda)</t>
  </si>
  <si>
    <t>TC_BON_POS_003</t>
  </si>
  <si>
    <t>[Login] Qazanılan bonus = (əməliyyat məbləği − xərclənən bonus) × bonus faizi</t>
  </si>
  <si>
    <t>Bir Bonus → Bonus hesablaması</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</si>
  <si>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https://birmarket.az/account/id-card
5. Hesabda bonus əməliyyatları var</t>
  </si>
  <si>
    <t>1. Hər sətir üçün məbləği, faizi, qazanılan və xərclənən (mənfi) bonusu oxu
2. Formula ilə hesabla, 0.01-ə yuvarlaqlaşdır
3. Göstərilən qazanılan bonusla müqayisə et</t>
  </si>
  <si>
    <t>Nümunə 1: 2.97 ₼ × 1.35% = 0.0401 → 0.04
Nümunə 2: (2.87 − 1.94) × 1% = 0.0093 → 0.01</t>
  </si>
  <si>
    <t>Hər sətirdə göstərilən qazanılan bonus formula nəticəsinə 0.01 dəqiqliklə bərabərdir (formula ekrandakı data ilə uyğunlaşdırılıb — GQ_UI_27)</t>
  </si>
  <si>
    <t>TC_BON_POS_005</t>
  </si>
  <si>
    <t>[Login] "Son əməliyyatlar" "Əməliyyat tarixçəsi"-nin ilk sətirləri ilə üst-üstə düşür</t>
  </si>
  <si>
    <t>Bir Bonus → Data uyğunluğu</t>
  </si>
  <si>
    <t>1. "Son əməliyyatlar"-ın ilk 3 sətrini qeyd et
2. "Əməliyyat tarixçəsi"-ni aç (filtrsiz)
3. İlk 3 sətri müqayisə et</t>
  </si>
  <si>
    <t>Tarix, tərəfdaş, məbləğ, faiz və bonuslar hər iki səhifədə eynidir</t>
  </si>
  <si>
    <t>TC_BON_UI_004</t>
  </si>
  <si>
    <t>[Login] Bonus kartı blokundakı bütün şəkillər düzgün yüklənir</t>
  </si>
  <si>
    <t>1. Kart blokunun aşağı hissəsini müşahidə et</t>
  </si>
  <si>
    <t>Sınıq şəkil ikonu görünmür, bütün şəkillər yüklənir
Faktiki: kartın altında sınıq şəkil ikonu görünür → BUG_003</t>
  </si>
  <si>
    <t>FAIL — Bonus kartı blokunda sınıq şəkil ikonu görünür. Bax: BUG_003.</t>
  </si>
  <si>
    <t>TC_TRX_BVA_007</t>
  </si>
  <si>
    <t>[Login] "Dövr" filtri başlanğıc və son tarixi daxil edir (sərhədlər inklüzivdir)</t>
  </si>
  <si>
    <t>Bir Bonus → Əməliyyat tarixçəsi / Dövr filtri</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</si>
  <si>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https://birmarket.az/account/transaction-history
5. Hesabda X tarixində ən azı 1 əməliyyat var</t>
  </si>
  <si>
    <t>1. "Dövr" təqvimində başlanğıc = X, son = X seç
2. Cədvəli yoxla
3. Başlanğıc = X+1 gün seç və cədvəli yenidən yoxla</t>
  </si>
  <si>
    <t>Dövr 1: X – X
Dövr 2: X+1 – X+1 (X = məlum əməliyyat tarixi)</t>
  </si>
  <si>
    <t>1. Dövr 1-də X tarixli əməliyyat göstərilir
2. Dövr 2-də X tarixli əməliyyat göstərilmir</t>
  </si>
  <si>
    <t>TC_TRX_NEG_009</t>
  </si>
  <si>
    <t>[Login] Əməliyyat olmayan dövr seçildikdə boş vəziyyət göstərilir</t>
  </si>
  <si>
    <t>Bir Bonus → Əməliyyat tarixçəsi / Boş nəticə</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</si>
  <si>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https://birmarket.az/account/transaction-history</t>
  </si>
  <si>
    <t>1. "Dövr"-də hesabın əməliyyatı olmayan köhnə tarix aralığı seç
2. Cədvəli yoxla</t>
  </si>
  <si>
    <t>Dövr: 01.01.2015 – 31.01.2015</t>
  </si>
  <si>
    <t>Cədvəldə sətir yoxdur, boş nəticə mesajı göstərilir; xəta yoxdur</t>
  </si>
  <si>
    <t>TC_TRX_POS_006</t>
  </si>
  <si>
    <t>[Login] Tərəfdaş filtri yalnız seçilmiş tərəfdaşın əməliyyatlarını göstərir</t>
  </si>
  <si>
    <t>Bir Bonus → Əməliyyat tarixçəsi / Tərəfdaş filtri</t>
  </si>
  <si>
    <t>1. "Tərəfdaşlar" siyahısından tərəfdaşı seç
2. Cədvəldəki bütün sətirlərin tərəfdaşını oxu</t>
  </si>
  <si>
    <t>Tərəfdaş: Bravo Birbank</t>
  </si>
  <si>
    <t>Bütün sətirlərdə tərəfdaş "Bravo Birbank"-dır</t>
  </si>
  <si>
    <t>TC_TRX_POS_008</t>
  </si>
  <si>
    <t>[Login] "Bonus növü" filtri əməliyyatları növə görə ayırır</t>
  </si>
  <si>
    <t>Bir Bonus → Əməliyyat tarixçəsi / Bonus növü</t>
  </si>
  <si>
    <t>1. "Bonus növü" siyahısını aç, seçimləri qeyd et
2. Hər seçimi tətbiq et və "Bonuslar" sütununu yoxla</t>
  </si>
  <si>
    <t>Bonus növü: siyahıdakı hər seçim</t>
  </si>
  <si>
    <t>Seçilmiş növə uyğun olmayan sətir göstərilmir (məs. yalnız qazanılan → mənfi dəyər yoxdur) (GQ_UI_27)</t>
  </si>
  <si>
    <t>Automation Strategy — Manual vs Avtomat seçimi</t>
  </si>
  <si>
    <t>1. Test case-in avtomatlaşdırılması üçün kriteriyalar (hamısı ödənməlidir)</t>
  </si>
  <si>
    <t>Kod</t>
  </si>
  <si>
    <t>Kriteriya</t>
  </si>
  <si>
    <t>İzah</t>
  </si>
  <si>
    <t>K1</t>
  </si>
  <si>
    <t>Regression dəyəri</t>
  </si>
  <si>
    <t>Hər release-də təkrar icra olunur, P1/P2 biznes funksionallığıdır</t>
  </si>
  <si>
    <t>K2</t>
  </si>
  <si>
    <t>Deterministik nəticə</t>
  </si>
  <si>
    <t>Assertion invarianta əsaslanır (sıralama, aralıq, cəm, uyğunluq), dəyişən prod data-ya (qiymət, stok, ad) hardcode edilmir</t>
  </si>
  <si>
    <t>K3</t>
  </si>
  <si>
    <t>Xarici asılılıq yoxdur</t>
  </si>
  <si>
    <t>SMS/OTP, real ödəniş, e-poçt və s. tələb olunmur</t>
  </si>
  <si>
    <t>K4</t>
  </si>
  <si>
    <t>Tələb aydındır</t>
  </si>
  <si>
    <t>Gözlənilən nəticə dəqiqdir (açıq Grooming Question yoxdur)</t>
  </si>
  <si>
    <t>K5</t>
  </si>
  <si>
    <t>Stabil locator / UI</t>
  </si>
  <si>
    <t>Element animasiya, A/B test və ya marketinq kontentindən asılı deyil</t>
  </si>
  <si>
    <t>K6</t>
  </si>
  <si>
    <t>Prod-a təhlükəsizdir</t>
  </si>
  <si>
    <t>Real sifariş, hesab, rəy və ya SMS yaratmır</t>
  </si>
  <si>
    <t>2. Manual saxlanılma səbəbləri</t>
  </si>
  <si>
    <t>Nümunə TC-lər</t>
  </si>
  <si>
    <t>SMS OTP</t>
  </si>
  <si>
    <t>Başlığı [Login] ilə başlayan bütün TC-lər, TC_AUTH_POS_008…024, TC_REG_*, TC_PRF_*, TC_ORD_*</t>
  </si>
  <si>
    <t>Prod-da OTP bypass yoxdur; real SMS limitlidir. Biznes kritik olanlar "Yes (Manual)" ilə manual regression-dadır (GQ_UI_12)</t>
  </si>
  <si>
    <t>Qeyri-müəyyən tələb</t>
  </si>
  <si>
    <t>TC_SRCH_NEG_004, TC_PLP_NEG_004, TC_PLP_BVA_005/012, TC_FAV_NEG_001/003, TC_AUTH_NEG_007, TC_AUTH_EDGE_015</t>
  </si>
  <si>
    <t>Gözlənilən nəticə təsdiqlənənə qədər avtomatlaşdırma yanlış assertion yaradar</t>
  </si>
  <si>
    <t>Vizual / UX</t>
  </si>
  <si>
    <t>TC_HOME_UI_003/007, TC_PDP_UI_003, TC_CAT_UI_007, TC_XBR_UI_001</t>
  </si>
  <si>
    <t>İnsan qiymətləndirməsi tələb edir; marketinq kontenti dəyişkəndir</t>
  </si>
  <si>
    <t>Dinamik prod data</t>
  </si>
  <si>
    <t>TC_CART_BVA_005, TC_CHK_BVA_003/004, TC_PDP_POS_006/007, TC_ORD_POS_003</t>
  </si>
  <si>
    <t>Stok və qiymətlər real vaxtda dəyişir → flaky risk</t>
  </si>
  <si>
    <t>Bir dəfəlik / aşağı risk</t>
  </si>
  <si>
    <t>TC_SRCH_EDGE_005, TC_SRCH_EDGE_007, TC_FTR_POS_001, TC_HOME_POS_002</t>
  </si>
  <si>
    <t>Regression ROI aşağıdır</t>
  </si>
  <si>
    <t>Arxitektura məhdudiyyəti</t>
  </si>
  <si>
    <t>Verilmiş arxitektura tək brauzer üçündür, dəyişdirilə bilməz</t>
  </si>
  <si>
    <t>3. Anti-flaky qaydalar (avtomatlaşdırılmış testlər üçün)</t>
  </si>
  <si>
    <t>Qayda</t>
  </si>
  <si>
    <t>Tətbiq</t>
  </si>
  <si>
    <t>Niyə</t>
  </si>
  <si>
    <t>Hardcode data yoxdur</t>
  </si>
  <si>
    <t>Qiymət və adlar UI-dan oxunub bir-biri ilə müqayisə olunur (kart↔PDP↔səbət)</t>
  </si>
  <si>
    <t>Prod data dəyişir, test yox</t>
  </si>
  <si>
    <t>Explicit wait</t>
  </si>
  <si>
    <t>Thread.sleep əvəzinə element/şərt gözləmələri (visibility, clickable, URL contains)</t>
  </si>
  <si>
    <t>Şəbəkə gecikməsi testi sındırmır</t>
  </si>
  <si>
    <t>Müstəqil testlər</t>
  </si>
  <si>
    <t>Hər test yeni brauzer sessiyası ilə, təmiz cookies, öz preconditions-ı ilə başlayır; test sırası önəmli deyil</t>
  </si>
  <si>
    <t>Bir testin FAIL-i digərini bloklamır</t>
  </si>
  <si>
    <t>Stabil test data</t>
  </si>
  <si>
    <t>Açar sözlər həmişə nəticə qaytaran ("iphone") və heç vaxt qaytarmayan ("qwxzqwxz123") seçilib; məhsul "stokda olan ilk kart" qaydası ilə seçilir</t>
  </si>
  <si>
    <t>Məhsul satışdan çıxsa da test işləyir</t>
  </si>
  <si>
    <t>Tolerans</t>
  </si>
  <si>
    <t>Faiz yuvarlaqlaşdırması ±1%, məbləğ cəmi 0.01 ₼ dəqiqliklə</t>
  </si>
  <si>
    <t>Yuvarlaqlaşdırma fərqi false FAIL yaratmır</t>
  </si>
  <si>
    <t>Retry ilə gizlətmə yoxdur</t>
  </si>
  <si>
    <t>FAIL olan test retry ilə "yaşıl" edilmir, səbəbi araşdırılır</t>
  </si>
  <si>
    <t>Flaky test real bug-ı gizlədir</t>
  </si>
  <si>
    <t>Stabillik sübutu</t>
  </si>
  <si>
    <t>Regression suite ardıcıl 3 dəfə run edilir, hamısı eyni nəticə verməlidir</t>
  </si>
  <si>
    <t>Exit kriteriyası</t>
  </si>
  <si>
    <t>4. Avtomatlaşdırma nəticəsi (icra: 06.10.2026)</t>
  </si>
  <si>
    <t>Mövzu</t>
  </si>
  <si>
    <t>Dəyər</t>
  </si>
  <si>
    <t>Qeyd</t>
  </si>
  <si>
    <t>Framework</t>
  </si>
  <si>
    <t>Gauge 1.6 + Selenium 4 + Java 25 + Maven</t>
  </si>
  <si>
    <t>Verilmiş arxitektura: imp (step) → helper (məntiq) → locator JSON</t>
  </si>
  <si>
    <t>Spec faylları</t>
  </si>
  <si>
    <t>specs/ui-testing/birmarket/ — 10 spec + birmarket.cpt</t>
  </si>
  <si>
    <t>Modullara görə bölünüb (home, language, city, search, plp, pdp, cart, favorites, auth, account)</t>
  </si>
  <si>
    <t>Locator-lar</t>
  </si>
  <si>
    <t>src/test/resources/locator/birmarket-*.json — 7 fayl</t>
  </si>
  <si>
    <t>XPATH və ID; data-info atributlarına üstünlük verilib</t>
  </si>
  <si>
    <t>Əlavə kod</t>
  </si>
  <si>
    <t>BirmarketHelper.java + BirmarketImp.java</t>
  </si>
  <si>
    <t>Qiymət sıralaması, qiymət aralığı, rəqəm müqayisəsi, təkrar cəhdli klik</t>
  </si>
  <si>
    <t>Smoke run</t>
  </si>
  <si>
    <t>mvn test "-Dgauge.specs.dir=specs/ui-testing/birmarket" "-Dtags=smoke"</t>
  </si>
  <si>
    <t>15/15 PASS (13 ssenari + data-driven account) — popup idarəsi əlavə olunduqdan sonra təkrar təsdiqləndi</t>
  </si>
  <si>
    <t>Full regression run</t>
  </si>
  <si>
    <t>mvn test "-Dgauge.specs.dir=specs/ui-testing/birmarket"</t>
  </si>
  <si>
    <t>43/43 PASS — ardıcıl 3 run (06.10 23:58, 07.10 00:21, 07.10 12:44), ~11–12 dəq; prod data dəyişsə də (axtarış sayı 300→305, kateqoriyanın 1-ci məhsulu dəyişdi) stabil</t>
  </si>
  <si>
    <t>Manual-a keçirilən TC-lər</t>
  </si>
  <si>
    <t>30 TC</t>
  </si>
  <si>
    <t>22 TC stabil locator/prod data səbəbilə, 8 TC (səbətə əlavə) flaky olduğu üçün. Səbəb Test Cases → K sütununda</t>
  </si>
  <si>
    <t>5. API avtomatlaşdırması (api.anarabbas.com)</t>
  </si>
  <si>
    <t>P1/P2 + deterministik nəticə → avtomat regression; P3/P4 → manual (CallMan)</t>
  </si>
  <si>
    <t>123 avtomat, 45 manual TC</t>
  </si>
  <si>
    <t>specs/api-testing/final-project/ — 11 spec + fp.cpt</t>
  </si>
  <si>
    <t>Hər task ayrıca spec; TC ID-ləri ssenari adındadır (traceability)</t>
  </si>
  <si>
    <t>FinalProjectApiHelper.java + FinalProjectApiImp.java</t>
  </si>
  <si>
    <t>Boş body, kart expiry (Bakı vaxtı +3 il), alıcı body-si</t>
  </si>
  <si>
    <t>Contract</t>
  </si>
  <si>
    <t>src/test/resources/schema/fp-*.json — 6 JSON Schema</t>
  </si>
  <si>
    <t>Alıcı, alıcı siyahısı, kart, kataloq, ödəniş, tarixçə</t>
  </si>
  <si>
    <t>Data izolyasiyası</t>
  </si>
  <si>
    <t>Hər ssenaridən əvvəl yeni login → boş sandbox</t>
  </si>
  <si>
    <t>Testlər müstəqil, istənilən ardıcıllıqla işləyir</t>
  </si>
  <si>
    <t>Run əmri</t>
  </si>
  <si>
    <t>mvn test "-Dgauge.specs.dir=specs/api-testing/final-project"</t>
  </si>
  <si>
    <t>Smoke: "-Dtags=smoke"</t>
  </si>
  <si>
    <t>Nəticə (08.10.2026)</t>
  </si>
  <si>
    <t>Run 1: 123/123 PASS (4m12s) · Run 2: 100/123 — 23 düşmə server 500 səbəbindən (BUG_API_004) · Run 3: 123/123 PASS (2m55s) · Smoke: 10/10 PASS · 13.10.2026 (təhvil günü): 123/123 PASS (2m41s)</t>
  </si>
  <si>
    <t>Assertion səbəbli düşmə yoxdur</t>
  </si>
  <si>
    <t>6. API avtomatlaşdırması — RestAssured + JUnit 5 + Allure (tapşırığın Mərhələ 4–5 tələbi)</t>
  </si>
  <si>
    <t>final-project-api-restassured (ayrıca Maven layihəsi)</t>
  </si>
  <si>
    <t>Java + RestAssured 5.4 + JUnit 5 + Jackson + AssertJ + Allure 2.27</t>
  </si>
  <si>
    <t>POJO</t>
  </si>
  <si>
    <t>model/request (5) + model/response (13)</t>
  </si>
  <si>
    <t>Pul sahələri BigDecimal — float yuvarlaqlaşdırma xətası olmasın</t>
  </si>
  <si>
    <t>Base spec / token</t>
  </si>
  <si>
    <t>core/ApiSpec (base URL, UTF-8, Allure filter) · tests/BaseTest (@BeforeEach yeni login)</t>
  </si>
  <si>
    <t>Hər test təmiz sandbox-da</t>
  </si>
  <si>
    <t>Data-driven BVA</t>
  </si>
  <si>
    <t>@ParameterizedTest + @CsvSource</t>
  </si>
  <si>
    <t>fullName, IBAN, initialAmount, amount, Idempotency-Key, limit, page, tək/gündəlik limit, balans</t>
  </si>
  <si>
    <t>State transition</t>
  </si>
  <si>
    <t>CardStateTransitionTest — 13 sətirlik keçid cədvəli</t>
  </si>
  <si>
    <t>Hər sətir Allure-da ayrıca test</t>
  </si>
  <si>
    <t>6 JSON Schema (matchesJsonSchemaInClasspath)</t>
  </si>
  <si>
    <t>Gauge layihəsi ilə eyni schema-lar</t>
  </si>
  <si>
    <t>Allure</t>
  </si>
  <si>
    <t>@Epic → @Feature → @Story, @Severity, TC ID-li @DisplayName; Environment + Categories (5xx ayrıca)</t>
  </si>
  <si>
    <t>mvn allure:serve · single-file: allure generate --single-file</t>
  </si>
  <si>
    <t>Əhatə</t>
  </si>
  <si>
    <t>130 / 168 TC (API_Test Cases → T sütunu)</t>
  </si>
  <si>
    <t>80 test metodu → 166 icra</t>
  </si>
  <si>
    <t>mvn clean test</t>
  </si>
  <si>
    <t>Hesabat: mvn allure:serve</t>
  </si>
  <si>
    <t>Run 1: 166/166 PASS (2m52s) · Run 2: 166/166 PASS (2m48s) · 13.10.2026 (təhvil günü): 166/166 PASS (2m55s)</t>
  </si>
  <si>
    <t>0 failure, 0 flaky</t>
  </si>
  <si>
    <t>Test Case ID-lər</t>
  </si>
  <si>
    <t>Cəmi TC</t>
  </si>
  <si>
    <t>Passed</t>
  </si>
  <si>
    <t>Coverage Status</t>
  </si>
  <si>
    <t>TC_HOME_POS_001, TC_HOME_POS_002, TC_HOME_POS_006, TC_HOME_POS_009, TC_HOME_POS_010, TC_HOME_POS_011, TC_HOME_POS_012, TC_HOME_POS_013, TC_HOME_POS_014, TC_HOME_POS_015, TC_HOME_POS_016, TC_HOME_POS_017, TC_HOME_POS_018, TC_HOME_POS_019, TC_HOME_UI_003, TC_HOME_UI_007</t>
  </si>
  <si>
    <t>TC_HOME_POS_004, TC_HOME_POS_005</t>
  </si>
  <si>
    <t>TC_LANG_POS_001, TC_LANG_POS_002, TC_LANG_POS_003, TC_LANG_POS_004</t>
  </si>
  <si>
    <t>TC_LANG_POS_005, TC_LANG_POS_006</t>
  </si>
  <si>
    <t>TC_CITY_NEG_007, TC_CITY_POS_001, TC_CITY_POS_002, TC_CITY_POS_003</t>
  </si>
  <si>
    <t>TC_CITY_POS_004, TC_CITY_POS_005, TC_CITY_POS_006</t>
  </si>
  <si>
    <t>TC_SRCH_EDGE_005, TC_SRCH_EDGE_007, TC_SRCH_EDGE_012, TC_SRCH_NEG_003, TC_SRCH_NEG_004, TC_SRCH_POS_001, TC_SRCH_POS_002, TC_SRCH_POS_006, TC_SRCH_POS_008, TC_SRCH_POS_009, TC_SRCH_POS_010, TC_SRCH_POS_011</t>
  </si>
  <si>
    <t>TC_CAT_NEG_006, TC_CAT_POS_001, TC_CAT_POS_002, TC_CAT_POS_003, TC_CAT_POS_004, TC_CAT_POS_005, TC_CAT_UI_007</t>
  </si>
  <si>
    <t>TC_PLP_BVA_005, TC_PLP_BVA_012, TC_PLP_NEG_004, TC_PLP_NEG_013, TC_PLP_NEG_014, TC_PLP_POS_001, TC_PLP_POS_002, TC_PLP_POS_003, TC_PLP_POS_006, TC_PLP_POS_007, TC_PLP_POS_008, TC_PLP_POS_009, TC_PLP_POS_010, TC_PLP_POS_011, TC_PLP_POS_015, TC_PLP_POS_016, TC_PLP_POS_017, TC_PLP_POS_018, TC_PLP_POS_019, TC_PLP_POS_020, TC_PLP_POS_022, TC_PLP_POS_023, TC_PLP_POS_024, TC_PLP_POS_025, TC_PLP_POS_026, TC_PLP_POS_027, TC_PLP_POS_028, TC_PLP_POS_029, TC_PLP_UI_021</t>
  </si>
  <si>
    <t>TC_PDP_NEG_005, TC_PDP_NEG_012, TC_PDP_POS_001, TC_PDP_POS_002, TC_PDP_POS_004, TC_PDP_POS_006, TC_PDP_POS_007, TC_PDP_POS_008, TC_PDP_POS_009, TC_PDP_POS_010, TC_PDP_POS_011, TC_PDP_POS_015, TC_PDP_POS_016, TC_PDP_UI_003</t>
  </si>
  <si>
    <t>TC_PDP_NEG_014, TC_PDP_POS_013</t>
  </si>
  <si>
    <t>TC_CART_BVA_004, TC_CART_BVA_005, TC_CART_NEG_012, TC_CART_NEG_019, TC_CART_POS_001, TC_CART_POS_002, TC_CART_POS_003, TC_CART_POS_006, TC_CART_POS_007, TC_CART_POS_008, TC_CART_POS_009, TC_CART_POS_011, TC_CART_POS_013, TC_CART_POS_014, TC_CART_POS_018</t>
  </si>
  <si>
    <t>TC_CART_POS_010, TC_CART_POS_015, TC_CART_POS_016, TC_CART_POS_017</t>
  </si>
  <si>
    <t>TC_FAV_POS_001, TC_FAV_POS_003, TC_FAV_POS_008</t>
  </si>
  <si>
    <t>TC_FAV_POS_002, TC_FAV_POS_004, TC_FAV_POS_005, TC_FAV_POS_006, TC_FAV_POS_007, TC_FAV_POS_009</t>
  </si>
  <si>
    <t>TC_AUTH_BVA_003, TC_AUTH_BVA_004, TC_AUTH_BVA_005, TC_AUTH_EDGE_014, TC_AUTH_EDGE_015, TC_AUTH_NEG_002, TC_AUTH_NEG_006, TC_AUTH_NEG_007, TC_AUTH_POS_001, TC_AUTH_POS_016</t>
  </si>
  <si>
    <t>TC_AUTH_BVA_017, TC_AUTH_BVA_025, TC_AUTH_NEG_010, TC_AUTH_NEG_011, TC_AUTH_NEG_018, TC_AUTH_NEG_019, TC_AUTH_NEG_026, TC_AUTH_POS_008, TC_AUTH_POS_009, TC_AUTH_POS_013, TC_AUTH_POS_020, TC_AUTH_POS_021, TC_AUTH_POS_022, TC_AUTH_POS_024, TC_AUTH_POS_027, TC_AUTH_POS_028, TC_AUTH_SEC_023, TC_AUTH_SEC_029, TC_AUTH_SEC_030, TC_AUTH_SEC_031, TC_AUTH_SEC_032</t>
  </si>
  <si>
    <t>TC_AUTH_POS_012, TC_REG_BVA_003, TC_REG_BVA_004, TC_REG_NEG_001, TC_REG_NEG_002</t>
  </si>
  <si>
    <t>TC_PRF_BVA_008, TC_PRF_BVA_009, TC_PRF_BVA_010, TC_PRF_BVA_014, TC_PRF_NEG_003, TC_PRF_NEG_004, TC_PRF_NEG_005, TC_PRF_NEG_011, TC_PRF_NEG_012, TC_PRF_NEG_017, TC_PRF_POS_001, TC_PRF_POS_002, TC_PRF_POS_007, TC_PRF_POS_013, TC_PRF_POS_015, TC_PRF_POS_016, TC_PRF_POS_018</t>
  </si>
  <si>
    <t>TC_ORD_POS_001, TC_ORD_POS_002, TC_ORD_POS_003, TC_ORD_POS_004</t>
  </si>
  <si>
    <t>TC_CHK_NEG_009, TC_CHK_POS_001</t>
  </si>
  <si>
    <t>TC_CHK_BVA_003, TC_CHK_BVA_004, TC_CHK_NEG_006, TC_CHK_POS_002, TC_CHK_POS_005, TC_CHK_POS_007, TC_CHK_POS_008</t>
  </si>
  <si>
    <t>TC_FTR_POS_001, TC_FTR_POS_002, TC_FTR_POS_003</t>
  </si>
  <si>
    <t>TC_ACC_NEG_001, TC_ACC_NEG_002, TC_ACC_NEG_003, TC_ACC_NEG_004, TC_ACC_NEG_005</t>
  </si>
  <si>
    <t>TC_XBR_UI_001, TC_XBR_UI_002</t>
  </si>
  <si>
    <t>TC_ADR_BVA_009, TC_ADR_EDGE_008, TC_ADR_NEG_002, TC_ADR_NEG_003, TC_ADR_NEG_004, TC_ADR_NEG_005, TC_ADR_NEG_007, TC_ADR_POS_001, TC_ADR_POS_006, TC_ADR_POS_010, TC_ADR_POS_011, TC_ADR_POS_012, TC_ADR_POS_013</t>
  </si>
  <si>
    <t>TC_KAB_POS_001, TC_KAB_POS_002, TC_KAB_POS_003, TC_KAB_POS_004, TC_KAB_POS_005, TC_KAB_POS_006</t>
  </si>
  <si>
    <t>TC_BON_POS_001, TC_BON_POS_002, TC_BON_POS_003, TC_BON_POS_005, TC_BON_UI_004, TC_TRX_BVA_007, TC_TRX_NEG_009, TC_TRX_POS_006, TC_TRX_POS_008</t>
  </si>
  <si>
    <t>Summary — UI Test Göstəriciləri</t>
  </si>
  <si>
    <t>Göstərici</t>
  </si>
  <si>
    <t>Cəmi UI test case</t>
  </si>
  <si>
    <t>Cəmi ssenari</t>
  </si>
  <si>
    <t>Prioritet üzrə</t>
  </si>
  <si>
    <t>Say</t>
  </si>
  <si>
    <t>Faiz</t>
  </si>
  <si>
    <t>Test növü üzrə (bir TC bir neçə növə aid ola bilər)</t>
  </si>
  <si>
    <t>EP</t>
  </si>
  <si>
    <t>Decision Table</t>
  </si>
  <si>
    <t>State Transition</t>
  </si>
  <si>
    <t>Smoke</t>
  </si>
  <si>
    <t>Manual vs Avtomat</t>
  </si>
  <si>
    <t>Regression — Avtomat (Yes)</t>
  </si>
  <si>
    <t>Regression — Manual (Yes (Manual))</t>
  </si>
  <si>
    <t>Regression-a daxil deyil (No)</t>
  </si>
  <si>
    <t>Regression-un avtomatlaşdırılma faizi</t>
  </si>
  <si>
    <t>İcra statusu</t>
  </si>
  <si>
    <t>Blocked</t>
  </si>
  <si>
    <t>Qeyd: icra risk əsaslı aparılıb — 43 avtomat TC (regression) + 17 P1 manual TC icra olunub, 3 Fail = BUG_001–003. "Not Run" olan 146 TC P2–P4 manual regression TC-ləridir: dizayn edilib və növbəti regression dövründə icra üçün planlaşdırılıb (Assumptions &amp; Risks → R-14).</t>
  </si>
  <si>
    <t>Summary — API Test Göstəriciləri (api.anarabbas.com)</t>
  </si>
  <si>
    <t>Cəmi API test case</t>
  </si>
  <si>
    <t>Cəmi API ssenari</t>
  </si>
  <si>
    <t>API bug-ları</t>
  </si>
  <si>
    <t>Test texnikası üzrə (bir TC bir neçə texnikaya aid ola bilər)</t>
  </si>
  <si>
    <t>Equivalence partitioning</t>
  </si>
  <si>
    <t>Boundary value analysis</t>
  </si>
  <si>
    <t>Decision table</t>
  </si>
  <si>
    <t>Error guessing</t>
  </si>
  <si>
    <t>Contract (JSON Schema)</t>
  </si>
  <si>
    <t>İcra statusu (manual, CallMan)</t>
  </si>
  <si>
    <t>Not Run (zamandan asılı)</t>
  </si>
  <si>
    <t>Avtomatlaşdırma</t>
  </si>
  <si>
    <t>Gauge (kurs framework-ü) — Automated</t>
  </si>
  <si>
    <t>Gauge — Manual</t>
  </si>
  <si>
    <t>RestAssured + JUnit 5 — əhatə olunan TC</t>
  </si>
  <si>
    <t>Avtomat run nəticələri (08.10.2026)</t>
  </si>
  <si>
    <t>Run</t>
  </si>
  <si>
    <t>Nəticə</t>
  </si>
  <si>
    <t>CallMan Collection Runner (manual)</t>
  </si>
  <si>
    <t>165/165 PASS</t>
  </si>
  <si>
    <t>Gauge API regression</t>
  </si>
  <si>
    <t>123/123 PASS (4 run; 1 run-da server 500 — BUG_API_004; 13.10: 123/123)</t>
  </si>
  <si>
    <t>RestAssured + JUnit 5</t>
  </si>
  <si>
    <t>166/166 PASS (3 ardıcıl run, son: 13.10.2026)</t>
  </si>
  <si>
    <t>Allure report</t>
  </si>
  <si>
    <t>166 test, 100%</t>
  </si>
  <si>
    <t>GQ ID</t>
  </si>
  <si>
    <t>Modul</t>
  </si>
  <si>
    <t>Sual (PO / BA / Dev üçün)</t>
  </si>
  <si>
    <t>Niyə vacibdir (risk)</t>
  </si>
  <si>
    <t>Əlaqəli TC</t>
  </si>
  <si>
    <t>Qəbul edilmiş fərziyyə (cavab gələnədək)</t>
  </si>
  <si>
    <t>Cavab (saytda təsdiqlənmiş)</t>
  </si>
  <si>
    <t>GQ_UI_01</t>
  </si>
  <si>
    <t>Boş sorğu ilə "Axtar" basıldıqda nə baş verməlidir: heç nə, xəbərdarlıq, yoxsa bütün məhsullar?</t>
  </si>
  <si>
    <t>Gözlənilən nəticə müəyyən olmadan TC PASS/FAIL ola bilməz</t>
  </si>
  <si>
    <t>Axtarış icra olunmur, səhifə dəyişmir</t>
  </si>
  <si>
    <t>Boş sorğuda "Axtar" heç bir reaksiya vermir</t>
  </si>
  <si>
    <t>Answered</t>
  </si>
  <si>
    <t>GQ_UI_02</t>
  </si>
  <si>
    <t>Qiymət filtri</t>
  </si>
  <si>
    <t>Min &gt; Max olduqda sistem dəyərləri yerini dəyişməlidir, xəta göstərməlidir, yoxsa filtri bloklamalıdır?</t>
  </si>
  <si>
    <t>Decision Table halı müəyyən deyil</t>
  </si>
  <si>
    <t>Xəta vermədən idarə edilir (500 yoxdur)</t>
  </si>
  <si>
    <t>Yanlış dəyər daxil edilən kimi sahə avtomatik sıfırlanır</t>
  </si>
  <si>
    <t>GQ_UI_03</t>
  </si>
  <si>
    <t>Qiymət filtrinin minimum və maksimum icazə verilən dəyərləri nədir? Mənfi və onluq dəyərlər qəbul edilirmi?</t>
  </si>
  <si>
    <t>BVA sərhədləri məlum deyil</t>
  </si>
  <si>
    <t>Alt sərhəd 0, mənfi qəbul edilmir</t>
  </si>
  <si>
    <t>Mənfi və hərf daxil edildikdə sahə avtomatik sıfırlanır</t>
  </si>
  <si>
    <t>GQ_UI_04</t>
  </si>
  <si>
    <t>Guest istifadəçi məhsulu seçilmişlərə əlavə edə bilərmi (lokal saxlama), yoxsa login tələb olunur?</t>
  </si>
  <si>
    <t>Guest vs Login davranışı fərqli ola bilər</t>
  </si>
  <si>
    <t>TC_FAV_POS_001, TC_FAV_POS_003</t>
  </si>
  <si>
    <t>Login tələb olunur</t>
  </si>
  <si>
    <t>Guest login olmadan seçilmişlərə əlavə edə bilir (brauzerdə saxlanılır)</t>
  </si>
  <si>
    <t>GQ_UI_05</t>
  </si>
  <si>
    <t>Miqdar 1 olduqda "−" düyməsi deaktiv olur, yoxsa məhsulu silmə təklifi çıxır?</t>
  </si>
  <si>
    <t>BVA min sərhədində assertion buna görə dəqiqləşir</t>
  </si>
  <si>
    <t>Miqdar 1-dən aşağı düşmür</t>
  </si>
  <si>
    <t>Miqdar 1 olduqda "−" düyməsi deaktivdir</t>
  </si>
  <si>
    <t>GQ_UI_06</t>
  </si>
  <si>
    <t>Bir məhsul üçün maksimum miqdar limiti stok sayı ilə, yoxsa sabit limitlə müəyyən olunur? Limitdə hansı mesaj göstərilir?</t>
  </si>
  <si>
    <t>BVA max sərhədi məlum deyil</t>
  </si>
  <si>
    <t>Limit = stok sayı</t>
  </si>
  <si>
    <t>Stokda 1 ədəd qaldıqda "+" və "−" işləmir</t>
  </si>
  <si>
    <t>GQ_UI_07</t>
  </si>
  <si>
    <t>Səbət (Login)</t>
  </si>
  <si>
    <t>Guest səbəti login olduqda hesabın mövcud səbəti ilə birləşir, yoxsa onu əvəz edir?</t>
  </si>
  <si>
    <t>Səbət itkisi birbaşa satış itkisidir</t>
  </si>
  <si>
    <t>Birləşir (merge)</t>
  </si>
  <si>
    <t>Open</t>
  </si>
  <si>
    <t>GQ_UI_08</t>
  </si>
  <si>
    <t>Autentifikasiya</t>
  </si>
  <si>
    <t>Operator kodu validasiyası client tərəfdə, yoxsa server tərəfdə aparılır? Etibarlı kodların tam siyahısı hansıdır?</t>
  </si>
  <si>
    <t>Yanlış nömrəyə SMS göndərilməsi xərc və təhlükəsizlik riskidir</t>
  </si>
  <si>
    <t>Etibarlı kodlar: 10, 50, 51, 55, 60, 70, 77, 99</t>
  </si>
  <si>
    <t>Sahə +994-dən sonra max 9 rəqəm qəbul edir; "Kodu göndər" həmişə aktivdir, validasiya klikdə işləyir: yanlış nömrədə "Telefon nömrəsi yanlışdır"</t>
  </si>
  <si>
    <t>GQ_UI_09</t>
  </si>
  <si>
    <t>OTP kodunun etibarlılıq müddəti, yenidən göndərmə taymeri və yanlış cəhd limiti nədir? Limit aşıldıqda hesab bloklanırmı?</t>
  </si>
  <si>
    <t>State Transition testi üçün keçid qaydaları lazımdır</t>
  </si>
  <si>
    <t>TC_AUTH_NEG_011, TC_AUTH_NEG_019, TC_AUTH_BVA_025, TC_AUTH_NEG_026</t>
  </si>
  <si>
    <t>Kod taymer bitdikdən sonra etibarsızdır</t>
  </si>
  <si>
    <t>OTP 6 rəqəmli, taymer 2:59; 2 yanlış cəhd icazəli, 3-cüdə həmin nömrə 15 dəqiqə bloklanır (başqa nömrəyə təsir etmir)</t>
  </si>
  <si>
    <t>GQ_UI_10</t>
  </si>
  <si>
    <t>PDP / Taksit</t>
  </si>
  <si>
    <t>Taksit aylıq ödənişi necə yuvarlaqlaşdırılır (yuxarı / riyazi)? Fərq son ayın ödənişinə əlavə olunurmu?</t>
  </si>
  <si>
    <t>Pul hesablamasında 0.01 ₼ fərq FAIL deməkdir</t>
  </si>
  <si>
    <t>Riyazi yuvarlaqlaşdırma, 2 onluq</t>
  </si>
  <si>
    <t>GQ_UI_11</t>
  </si>
  <si>
    <t>Pulsuz çatdırılma həddi (50 ₼) bütün şəhərlər və çatdırılma üsulları üçün eynidirmi? Endirimdən əvvəlki, yoxsa sonrakı məbləğə tətbiq olunur?</t>
  </si>
  <si>
    <t>BVA dəyərləri buna görə seçilir</t>
  </si>
  <si>
    <t>TC_CHK_BVA_003, TC_CHK_BVA_004</t>
  </si>
  <si>
    <t>Bakı, kuryer, endirimdən sonrakı məbləğ</t>
  </si>
  <si>
    <t>GQ_UI_12</t>
  </si>
  <si>
    <t>Login axınlarını avtomatlaşdırmaq üçün test mühiti və ya OTP bypass (sabit test kodu) təqdim oluna bilərmi?</t>
  </si>
  <si>
    <t>Cavab müsbət olsa, "Yes (Manual)" TC-lər avtomatlaşdırıla bilər</t>
  </si>
  <si>
    <t>Bütün [Login] TC-lər</t>
  </si>
  <si>
    <t>Yoxdur — login axınları manual qalır</t>
  </si>
  <si>
    <t>GQ_UI_13</t>
  </si>
  <si>
    <t>Login istifadəçinin seçdiyi şəhər hesabda saxlanılır, yoxsa yalnız brauzerdə?</t>
  </si>
  <si>
    <t>Cihazlar arası fərqli çatdırılma şərtləri göstərilə bilər</t>
  </si>
  <si>
    <t>Hesabda saxlanılır</t>
  </si>
  <si>
    <t>Müşahidə: logout-dan sonra "Şəhərinizi seçin" pəncərəsi avtomatik açılır (Bakı seçili)</t>
  </si>
  <si>
    <t>GQ_UI_14</t>
  </si>
  <si>
    <t>Dil</t>
  </si>
  <si>
    <t>Dil seçimi hesab səviyyəsində saxlanılırmı (SMS/bildirişlərin dili)?</t>
  </si>
  <si>
    <t>Bildirişlərin yanlış dildə gəlməsi</t>
  </si>
  <si>
    <t>Yalnız brauzerdə saxlanılır</t>
  </si>
  <si>
    <t>GQ_UI_15</t>
  </si>
  <si>
    <t>Nömrə yerli formatda (0 ilə) daxil edildikdə 0 avtomatik atılmalıdırmı?</t>
  </si>
  <si>
    <t>İstifadəçilərin çoxu nömrəni 0 ilə yazır — login uğursuzluğu</t>
  </si>
  <si>
    <t>0 atılır</t>
  </si>
  <si>
    <t>GQ_UI_16</t>
  </si>
  <si>
    <t>Qeydiyyat / Profil</t>
  </si>
  <si>
    <t>Ad sahəsinin qaydaları: min/max uzunluq, icazə verilən simvollar (rəqəm, tire, boşluq, kiril)?</t>
  </si>
  <si>
    <t>BVA və EP dəyərləri buna görə seçilir</t>
  </si>
  <si>
    <t>TC_REG_NEG_002, TC_REG_BVA_003/004, TC_PRF_NEG_004</t>
  </si>
  <si>
    <t>Min 2, max 50, yalnız hərf, boşluq və tire</t>
  </si>
  <si>
    <t>GQ_UI_17</t>
  </si>
  <si>
    <t>Profil</t>
  </si>
  <si>
    <t>Profildə e-poçt sahəsi varmı, mütləqdirmi? Telefon nömrəsi necə dəyişdirilir?</t>
  </si>
  <si>
    <t>Hesab təhlükəsizliyi</t>
  </si>
  <si>
    <t>TC_PRF_NEG_005, TC_PRF_POS_006</t>
  </si>
  <si>
    <t>E-poçt ixtiyaridir; telefon yalnız OTP ilə dəyişir</t>
  </si>
  <si>
    <t>E-Mail sahəsi var; telefon "Əlaqə nömrəsi" kimi ayrıca göstərilir</t>
  </si>
  <si>
    <t>GQ_UI_18</t>
  </si>
  <si>
    <t>Logout-dan sonra hesabın səbəti guest səbəti kimi brauzerdə qalırmı?</t>
  </si>
  <si>
    <t>Paylaşılan kompüterdə məxfilik riski</t>
  </si>
  <si>
    <t>Qalmır</t>
  </si>
  <si>
    <t>GQ_UI_19</t>
  </si>
  <si>
    <t>PDP / Rəy</t>
  </si>
  <si>
    <t>Rəyi kim yaza bilər: istənilən login istifadəçi, yoxsa yalnız məhsulu almış alıcı?</t>
  </si>
  <si>
    <t>Saxta rəy riski</t>
  </si>
  <si>
    <t>TC_PDP_NEG_012, TC_PDP_NEG_014</t>
  </si>
  <si>
    <t>Yalnız almış alıcı</t>
  </si>
  <si>
    <t>Rəy yalnız çatdırılmış məhsullar üçün yazıla bilər ("Rəy yazmaq" tabı: "Çatdırılmış məhsul yoxdur")</t>
  </si>
  <si>
    <t>GQ_UI_20</t>
  </si>
  <si>
    <t>Axtarış üçün minimum simvol sayı varmı?</t>
  </si>
  <si>
    <t>Server yükü və UX</t>
  </si>
  <si>
    <t>Minimum yoxdur</t>
  </si>
  <si>
    <t>GQ_UI_21</t>
  </si>
  <si>
    <t>Guest seçilmişləri login olduqda hesabın seçilmişləri ilə birləşir, yoxsa itirilir?</t>
  </si>
  <si>
    <t>Guest artıq seçilmişlərdən istifadə edə bildiyi üçün login zamanı data itkisi riski</t>
  </si>
  <si>
    <t>Birləşir</t>
  </si>
  <si>
    <t>Guest seçilmişləri login-dən sonra hesabda qalır</t>
  </si>
  <si>
    <t>GQ_UI_22</t>
  </si>
  <si>
    <t>Sıralama</t>
  </si>
  <si>
    <t>"Yüksək reytinq" və "Yeniliklər" hansı meyarla sıralayır (reytinq + rəy sayı? əlavə olunma tarixi?)</t>
  </si>
  <si>
    <t>Meyar bilinmədən sərt assertion yazmaq mümkün deyil</t>
  </si>
  <si>
    <t>TC_PLP_POS_026, TC_PLP_POS_027</t>
  </si>
  <si>
    <t>Reytinq azalan; tarix azalan</t>
  </si>
  <si>
    <t>GQ_UI_23</t>
  </si>
  <si>
    <t>Kateqoriya açıldıqda default sıralama hansıdır?</t>
  </si>
  <si>
    <t>İstifadəçinin ilk gördüyü siyahı</t>
  </si>
  <si>
    <t>Populyar</t>
  </si>
  <si>
    <t>GQ_UI_24</t>
  </si>
  <si>
    <t>Əvvəl istifadə olunmuş nömrə ilə eyni brauzerdə OTP-siz giriş qəsdən edilmiş "etibarlı cihaz" funksiyasıdırmı? Logout bu statusu ləğv etməlidirmi? Status nə qədər müddət etibarlıdır?</t>
  </si>
  <si>
    <t>Logout-dan sonra OTP-siz giriş ortaq kompüterdə hesabın ələ keçirilməsinə imkan verir (yalnız nömrə ilə giriş)</t>
  </si>
  <si>
    <t>TC_AUTH_POS_028, TC_AUTH_SEC_029…032</t>
  </si>
  <si>
    <t>Etibarlı cihaz funksiyasıdır, amma logout onu ləğv etməlidir</t>
  </si>
  <si>
    <t>Network analizi: OTP-ni Single ID (SSO) sessiyası atlayır; logout SSO sessiyasını bitirmir (singleid_auth OTP-siz token qaytarır). Başqa nömrə üçün OTP soruşulur</t>
  </si>
  <si>
    <t>GQ_UI_25</t>
  </si>
  <si>
    <t>Ana səhifə</t>
  </si>
  <si>
    <t>Sol paneldə "Bütün kateqoriyalar" siyahını yerində genişləndirir, yoxsa /categories səhifəsini açır?</t>
  </si>
  <si>
    <t>Siyahını genişləndirir</t>
  </si>
  <si>
    <t>Siyahı yerində genişlənir (URL dəyişmir, overlay açılır)</t>
  </si>
  <si>
    <t>GQ_UI_26</t>
  </si>
  <si>
    <t>"Birmarket-də satın" və "915" seçicisi nəyi göstərir/açır?</t>
  </si>
  <si>
    <t>Keçidin düzgünlüyü</t>
  </si>
  <si>
    <t>TC_HOME_POS_014, TC_HOME_POS_015</t>
  </si>
  <si>
    <t>Satıcı səhifəsi; əlaqə məlumatları</t>
  </si>
  <si>
    <t>"Birmarket-də satın" → business.umico.az; "915" → iş saatları (hər gün 09:00–00:00) və tel: link</t>
  </si>
  <si>
    <t>GQ_UI_27</t>
  </si>
  <si>
    <t>Bir Bonus</t>
  </si>
  <si>
    <t>Bonus hansı məbləğə hesablanır: bonusla ödənilən hissə çıxılırmı? Yuvarlaqlaşdırma qaydası nədir? "Bonus növü" filtrində hansı seçimlər var?</t>
  </si>
  <si>
    <t>Pul ekvivalenti olan bonusların səhv hesablanması</t>
  </si>
  <si>
    <t>TC_BON_POS_003, TC_TRX_POS_008</t>
  </si>
  <si>
    <t>(məbləğ − xərclənən bonus) × faiz, riyazi yuvarlaqlaşdırma</t>
  </si>
  <si>
    <t>Ekrandakı data formula ilə uyğun gəlir</t>
  </si>
  <si>
    <t>GQ_UI_28</t>
  </si>
  <si>
    <t>FİN kodun qaydaları: dəqiq 7 simvol? Yalnız böyük hərf və rəqəm? Kiçik hərf avtomatik böyüdülürmü?</t>
  </si>
  <si>
    <t>BVA/EP dəyərləri buna görə seçilir</t>
  </si>
  <si>
    <t>TC_PRF_BVA_008…TC_PRF_NEG_011</t>
  </si>
  <si>
    <t>7 simvol, latın böyük hərf + rəqəm</t>
  </si>
  <si>
    <t>GQ_UI_29</t>
  </si>
  <si>
    <t>Doğum tarixi üçün minimum yaş (məs. 18) və maksimum geriyə həddi varmı?</t>
  </si>
  <si>
    <t>BVA sərhədləri</t>
  </si>
  <si>
    <t>Gələcək tarix seçilmir; yaş limiti yoxdur</t>
  </si>
  <si>
    <t>Tarix yalnız təqvimdən seçilir</t>
  </si>
  <si>
    <t>GQ_UI_30</t>
  </si>
  <si>
    <t>Ünvanlar</t>
  </si>
  <si>
    <t>Çatdırılma ərazisindən kənar ünvan əlavə etmək mümkündürmü (yalnız sifariş zamanı bloklanır)?</t>
  </si>
  <si>
    <t>Səhv ünvana sifariş riski</t>
  </si>
  <si>
    <t>Əlavə etmək mümkün deyil</t>
  </si>
  <si>
    <t>GQ_UI_31</t>
  </si>
  <si>
    <t>"Ünvan adı" üçün maksimum uzunluq və icazə verilən simvollar nədir?</t>
  </si>
  <si>
    <t>Max 50 simvol</t>
  </si>
  <si>
    <t>GQ_UI_32</t>
  </si>
  <si>
    <t>Profil şəkli üçün icazə verilən formatlar və maksimum fayl ölçüsü nədir?</t>
  </si>
  <si>
    <t>Böyük/yanlış faylla sistemin yüklənməsi</t>
  </si>
  <si>
    <t>JPG/PNG, max 5 MB</t>
  </si>
  <si>
    <t>GQ_UI_33</t>
  </si>
  <si>
    <t>Ad və Soyad məcburidirmi?</t>
  </si>
  <si>
    <t>Validasiya TC-ləri</t>
  </si>
  <si>
    <t>Ad məcburi, Soyad ixtiyari</t>
  </si>
  <si>
    <t>GQ_UI_34</t>
  </si>
  <si>
    <t>Saxlanmış ünvan redaktə və silinə bilərmi? Əsas ünvan silinərsə nə olur?</t>
  </si>
  <si>
    <t>Ünvan idarəetməsi</t>
  </si>
  <si>
    <t>Silinə bilər</t>
  </si>
  <si>
    <t>GQ_UI_35</t>
  </si>
  <si>
    <t>"Ləğv et" seçildikdən sonra bildiriş təklifi nə vaxt yenidən göstərilir (heç vaxt / X gün sonra / hər sessiyada)?</t>
  </si>
  <si>
    <t>Təkrarlanan pop-up istifadəçini narahat edir</t>
  </si>
  <si>
    <t>Ən azı həmin sessiyada təkrar göstərilmir</t>
  </si>
  <si>
    <t>Fərziyyələr</t>
  </si>
  <si>
    <t>ID</t>
  </si>
  <si>
    <t>Fərziyyə</t>
  </si>
  <si>
    <t>Təsir</t>
  </si>
  <si>
    <t>A-01</t>
  </si>
  <si>
    <t>Public sayt üçün rəsmi tələb sənədi yoxdur; gözlənilən nəticələr saytın hazırkı davranışı, saytdakı rəsmi məlumat səhifələri (Çatdırılma və ödəmə, FAQ) və e-commerce best practice əsasında müəyyən edilib</t>
  </si>
  <si>
    <t>Qeyri-müəyyən hallar Grooming Questions-da qeyd olunub</t>
  </si>
  <si>
    <t>A-02</t>
  </si>
  <si>
    <t>UI mesajlarının dəqiq mətnləri saytdan təsdiqlənib Expected Result-a yazılır (boş səbət, nəticəsiz axtarış, silmə təsdiqi, "Səbətdə" vəziyyəti artıq təsdiqlənib)</t>
  </si>
  <si>
    <t>Mətn dəyişərsə TC yenilənir</t>
  </si>
  <si>
    <t>A-03</t>
  </si>
  <si>
    <t>Pulsuz çatdırılma həddi ana səhifədəki məlumata əsasən 50 ₼ qəbul edilib</t>
  </si>
  <si>
    <t>BVA dəyərləri 49.xx / 50.xx seçilib</t>
  </si>
  <si>
    <t>A-04</t>
  </si>
  <si>
    <t>Login yalnız telefon nömrəsi + SMS OTP (BirID) ilə həyata keçirilir, şifrə ilə login yoxdur</t>
  </si>
  <si>
    <t>Login axınları manual qalır</t>
  </si>
  <si>
    <t>A-05</t>
  </si>
  <si>
    <t>Bütün testlər Production-da aparılır; sifariş heç vaxt təsdiqlənmir</t>
  </si>
  <si>
    <t>Checkout yalnız təsdiq addımına qədər yoxlanılır</t>
  </si>
  <si>
    <t>A-06</t>
  </si>
  <si>
    <t>Kabinet URL-ləri təsdiqlənib: /account/profile, /account/orders, /account/notifications. Checkout URL-i hələ qeyd olunmayıb</t>
  </si>
  <si>
    <t>TC_ACC_NEG_001/002/004 bu URL-lərlə avtomatlaşdırılır</t>
  </si>
  <si>
    <t>A-07</t>
  </si>
  <si>
    <t>Login versiyası yalnız davranışı Guest-dən fərqlənən funksionallıqlar üçün yazılıb (header, səbət, seçilmişlər, checkout, kabinet). Davranışı eyni olan funksiyalar (kataloq, filtr) üçün login dublikatı yazılmayıb</t>
  </si>
  <si>
    <t>Mənasız dublikat TC-lərin qarşısı alınır</t>
  </si>
  <si>
    <t>A-08</t>
  </si>
  <si>
    <t>UI avtomatlaşdırma guest vəziyyətində icra olunur; login tələb edən ssenarilər SMS OTP səbəbilə manual test olunur</t>
  </si>
  <si>
    <t>Avtomat regression yalnız guest funksionallığını əhatə edir</t>
  </si>
  <si>
    <t>A-09</t>
  </si>
  <si>
    <t>"Səbətə əlavə et" asılı 8 TC (PDP_POS_010, CART_*, CHK_POS_001) Manual regression-dadır</t>
  </si>
  <si>
    <t>Avtomat regression-da yalnız deterministik nəticə verən testlər saxlanılır</t>
  </si>
  <si>
    <t>Risklər</t>
  </si>
  <si>
    <t>Risk</t>
  </si>
  <si>
    <t>Təsir səviyyəsi</t>
  </si>
  <si>
    <t>Azaltma tədbiri</t>
  </si>
  <si>
    <t>R-01</t>
  </si>
  <si>
    <t>Prod-da qiymət, stok və məhsul siyahısı daim dəyişir</t>
  </si>
  <si>
    <t>Yüksək</t>
  </si>
  <si>
    <t>Assertion-lar invariantlara əsaslanır, hardcode data yoxdur (Automation Strategy, bölmə 3)</t>
  </si>
  <si>
    <t>R-02</t>
  </si>
  <si>
    <t>Saytın anti-bot qorunması avtomatlaşdırılmış brauzeri bloklaya bilər (captcha / rate limit)</t>
  </si>
  <si>
    <t>Orta</t>
  </si>
  <si>
    <t>Testlər arasında aqressiv sorğu yoxdur, regression kiçik və fokuslu saxlanılır; bloklanma halında bug yox, Blocked statusu verilir</t>
  </si>
  <si>
    <t>R-03</t>
  </si>
  <si>
    <t>SMS OTP səbəbilə login axınları avtomatlaşdırıla bilmir</t>
  </si>
  <si>
    <t>Manual regression (Yes (Manual)) + GQ_UI_12 ilə test mühiti/bypass tələbi</t>
  </si>
  <si>
    <t>R-04</t>
  </si>
  <si>
    <t>UI/locator dəyişiklikləri (redesign) avtomat testləri sındıra bilər</t>
  </si>
  <si>
    <t>Stabil locator-lar (id, data-atributlar, mətn) və Page Object pattern (verilmiş arxitekturaya uyğun)</t>
  </si>
  <si>
    <t>R-05</t>
  </si>
  <si>
    <t>Marketinq bannerləri və aksiyalar tez-tez dəyişir</t>
  </si>
  <si>
    <t>Aşağı</t>
  </si>
  <si>
    <t>Banner testləri manual saxlanılıb</t>
  </si>
  <si>
    <t>R-06</t>
  </si>
  <si>
    <t>3 yanlış OTP cəhdi nömrəni 15 dəqiqə bloklayır (təsdiqlənib)</t>
  </si>
  <si>
    <t>Limit testləri (TC_AUTH_NEG_019, TC_AUTH_BVA_025, TC_AUTH_NEG_026) ayrıca test nömrəsi ilə, digər login testlərindən sonra icra olunur</t>
  </si>
  <si>
    <t>R-07</t>
  </si>
  <si>
    <t>Production-da qonaq səbətinə əlavə ardıcıl run-larda qeyri-deterministikdir (təsdiqləndi: eyni kod bir run-da PASS, digərində FAIL)</t>
  </si>
  <si>
    <t>Səbətə əlavə asılı testlər avtomatdan çıxarılıb, Manual regression-a keçirilib; boş səbət testi (CART_POS_011) avtomatda qalır</t>
  </si>
  <si>
    <t>R-08</t>
  </si>
  <si>
    <t>"Şəhərinizi seçin" pəncərəsi təmiz sessiyada avtomatik açılır və klikləri bloklayır</t>
  </si>
  <si>
    <t>"Şeher penceresi açılarsa bağla" concept-i: pəncərə çıxarsa X ilə bağlanır, çıxmazsa test davam edir</t>
  </si>
  <si>
    <t>R-09</t>
  </si>
  <si>
    <t>Səhifə tam hidrasiya olunmamış klik itə bilər (flaky)</t>
  </si>
  <si>
    <t>Səhifə yüklənməsi və element vəziyyəti gözlənilir (explicit wait); hard sleep minimuma endirilib</t>
  </si>
  <si>
    <t>R-10</t>
  </si>
  <si>
    <t>Təmiz sessiyada "Brauzerinizdə bildirişlər almaq istəyirsinizmi?" pəncərəsi çıxa bilər və sol yuxarı hissəni örtür (manual icrada müşahidə olundu, avtomat run-larda çıxmadı)</t>
  </si>
  <si>
    <t>"Şeher penceresi açılarsa bağla" concept-inə əlavə addım: pəncərə görünərsə "Ləğv et" basılır, görünməzsə test davam edir</t>
  </si>
  <si>
    <t>R-11</t>
  </si>
  <si>
    <t>API: server vaxtaşırı etibarlı sorğulara 500 "Network connection lost" qaytarır (08.10.2026 ~14:52–14:55 arası 23 ssenari bu səbəbdən düşdü; həmin sorğular əvvəl və sonra uğurla keçdi)</t>
  </si>
  <si>
    <t>Nəticə assertion-a yox, mühitə bağlıdırsa run təkrarlanır; hadisə BUG_API_004 kimi sənədləşdirildi. Framework-də 500 üçün retry açılmadı ki, real problem gizlənməsin</t>
  </si>
  <si>
    <t>R-12</t>
  </si>
  <si>
    <t>API: POST /cards cavabı 0.7–1.5 san çəkir (digər sorğular 0.1–0.3 san)</t>
  </si>
  <si>
    <t>Performans müşahidəsi; funksional testlərə təsiri yoxdur, timeout 30 san</t>
  </si>
  <si>
    <t>R-13</t>
  </si>
  <si>
    <t>UI: production saytın performansı run müddətinə birbaşa təsir edir. 12.10.2026 smoke run-ı 30 dəq 47 san çəkdi (adi halda ~4 dəq) — həmin vaxt birmarket.az əl ilə də gec yüklənirdi. 13.10.2026 smoke: 14/15 — /account/orders yönləndirməsi 20 san-dan gec gəldi (sayt yavaş idi; /account və /account/id-card keçdi). 13.10.2026 axşam full regression: 43/43 PASS, lakin 1 saat 27 dəq (adi halda ~11 dəq). Eyni yavaşlama kursun eyni framework-ünü istifadə edən digər tələbələrdə də müşahidə olunub → səbəb ümumi mühitdir: Chrome avtomatik 154-ə yenilənib, framework-dəki Selenium 4.26 bu versiya üçün CDP tapmır (terminalda "Unable to find CDP implementation matching 154")</t>
  </si>
  <si>
    <t>Gözləmələr explicit wait ilə qurulub. 10_account_access.spec-də login səhifəsinin gözləmə müddəti 20 → 40 san edildi (yalnız spec dəyişdi, arxitektura yox); təkrar run 3/3 PASS. Run uzun çəkərsə, saytın sürəti brauzerdə əl ilə yoxlanmalı və run sayt normallaşdıqda təkrarlanmalıdır. Selenium versiyası pom.xml-dədir (verilmiş arxitektura) — dəyişdirilmədi. Testlər yavaş mühitdə də 43/43 keçir, yəni flaky deyil</t>
  </si>
  <si>
    <t>R-14</t>
  </si>
  <si>
    <t>UI: 228 TC-nin hamısını bir sprint ərzində manual icra etmək mümkün deyil</t>
  </si>
  <si>
    <t>Risk əsaslı icra: bütün avtomat regression (43) hər run-da, manual-dan yalnız P1 (17) icra olundu. P2–P4 manual TC-lər (146) "Not Run" statusundadır və növbəti regression dövrünə planlaşdırılıb</t>
  </si>
  <si>
    <t>Bug ID</t>
  </si>
  <si>
    <t>Title</t>
  </si>
  <si>
    <t>Module</t>
  </si>
  <si>
    <t>Severity</t>
  </si>
  <si>
    <t>Environment</t>
  </si>
  <si>
    <t>Steps to Reproduce</t>
  </si>
  <si>
    <t>Related TC</t>
  </si>
  <si>
    <t>Attachment</t>
  </si>
  <si>
    <t>BUG_001</t>
  </si>
  <si>
    <t>Logout Single ID (SSO) sessiyasını bitirmir — eyni brauzerdə təkrar girişdə OTP soruşulmadan login olunur</t>
  </si>
  <si>
    <t>Autentifikasiya → Logout / SSO sessiyası</t>
  </si>
  <si>
    <t>Major</t>
  </si>
  <si>
    <t>Production: https://birmarket.az/ | Windows 11 | Google Chrome (son stabil versiya) | 07.10.2026</t>
  </si>
  <si>
    <t>1) Test nömrəsi ilə bu brauzerdə əvvəllər OTP ilə login olunub 2) İstifadəçi "Şəxsi hesabım" → "Çıxış" ilə logout edib, header-də "Qeydiyyat | Giriş" görünür 3) DevTools → Network açıqdır ("Keep log" aktiv)</t>
  </si>
  <si>
    <t>1) "Qeydiyyat | Giriş" linkinə klik et 2) "Telefon nömrəsi" sahəsinə həmin nömrəni daxil et 3) "Kodu göndər" düyməsinə klik et 4) Network-də "singleid_auth" sorğusunun Payload və Response-una bax</t>
  </si>
  <si>
    <t>OTP ekranı açılmır, SMS göndərilmir, istifadəçi birbaşa login olur. Network: "singleid_auth" (Payload: code, code_verifier, redirect_uri=https://birmarket.az/sso_auth, state) Response-da access_token (expires_in: 1800), refresh_token (refresh_expires_in: 7776000 — 90 gün), "auth_scenario": "sign_in" qaytarır. Yəni logout-dan sonra SSO sessiyası aktiv qalır və avtorizasiya kodu OTP-siz verilir. Qeyd: başqa nömrə ilə girişdə OTP soruşulur
Əlavə yoxlama (07.10.2026): Chrome Incognito və Microsoft Edge-də eyni nömrə ilə OTP tələb olundu (TC_AUTH_SEC_029, TC_AUTH_SEC_030 — PASS). Yəni OTP yalnız əvvəllər login olunmuş eyni brauzerdə keçilir; logout həmin brauzerin "etibarlı" statusunu silmir. Yalnız nömrə ilə girişə imkan yoxdur → Severity: Major (Critical deyil).</t>
  </si>
  <si>
    <t>"Çıxış" həm Birmarket tokenlərini, həm də Single ID (SSO) sessiyasını bitirməlidir (end-session / refresh_token ləğvi). Təkrar girişdə OTP ekranı açılmalı və SMS kod tələb olunmalıdır. Risk: ortaq kompüterdə növbəti şəxs nömrəni yazaraq əvvəlki istifadəçinin hesabına daxil ola bilər</t>
  </si>
  <si>
    <t>TC_AUTH_POS_028, GQ_UI_24</t>
  </si>
  <si>
    <t>Ekran videosu + Network ekran şəkilləri (tokenlər, session_state, ext_id gizlədilməlidir)</t>
  </si>
  <si>
    <t>New</t>
  </si>
  <si>
    <t>BUG_002</t>
  </si>
  <si>
    <t>Ünvan validasiya mesajı formada olmayan "təsdiqləmək" düyməsinə istinad edir və türkcə söz ("tıklayın") ehtiva edir</t>
  </si>
  <si>
    <t>Minor</t>
  </si>
  <si>
    <t>Production: https://birmarket.az/account/addresses | Windows 11 | Google Chrome (son stabil versiya) | 07.10.2026</t>
  </si>
  <si>
    <t>1) İstifadəçi login olub 2) "Mənim ünvanlarım" səhifəsi açıqdır</t>
  </si>
  <si>
    <t>1) "Ünvan adı" sahəsinə "Ev" daxil et 2) "Ünvan və evin nömrəsi" sahəsinə "fbvfdfg" daxil et 3) "Ok" düyməsinə klik et 4) Sahənin altındakı mesajı oxu</t>
  </si>
  <si>
    <t>Mesaj göstərilir: "Ünvan dəqiq deyil. Ünvan düzgündürsə, "təsdiqləmək" düyməsini tıklayın və ya ünvanı xəritədə seçin." Formada "təsdiqləmək" adlı düymə yoxdur (mövcud link: "Seçilmiş ünvan ilə davam etmək"); "tıklayın" türkcə sözdür</t>
  </si>
  <si>
    <t>Mesaj formada mövcud olan elementə istinad etməlidir (məs. "Seçilmiş ünvan ilə davam etmək" linkinə klikləyin) və düzgün Azərbaycan dilində olmalıdır ("klikləyin" / "basın")</t>
  </si>
  <si>
    <t>Ekran şəkli (mövcuddur)</t>
  </si>
  <si>
    <t>BUG_003</t>
  </si>
  <si>
    <t>"Mənim ID kartım" səhifəsində bonus kartı blokunda sınıq şəkil ikonu göstərilir</t>
  </si>
  <si>
    <t>Production: https://birmarket.az/account/id-card | Windows 11 | Google Chrome (son stabil versiya) | 07.10.2026</t>
  </si>
  <si>
    <t>1) İstifadəçi login olub</t>
  </si>
  <si>
    <t>1) "Şəxsi hesabım" → "Mənim ID kartım"-a klik et 2) Bonus kartı blokunun aşağı hissəsinə bax</t>
  </si>
  <si>
    <t>Kart nömrəsinin altında yüklənməyən şəkil (sınıq şəkil ikonu) göstərilir</t>
  </si>
  <si>
    <t>Bütün şəkillər düzgün yüklənməli; şəkil yoxdursa element ümumiyyətlə göstərilməməlidir</t>
  </si>
  <si>
    <t>Ekran şəkli (mövcuddur — şəxsi məlumatlar gizlədilməlidir)</t>
  </si>
  <si>
    <t>BUG_API_001</t>
  </si>
  <si>
    <t>POST /cards başqa istifadəçinin hesabı üçün 403 qaytarır — ümumi "başqasının resursu → 404" qaydasına zidddir (resursun mövcudluğu açıqlanır)</t>
  </si>
  <si>
    <t>API → GRAD-201 POST /cards</t>
  </si>
  <si>
    <t>API: https://api.anarabbas.com | Callman Desktop | 08.10.2026</t>
  </si>
  <si>
    <t>user1 token alınıb; acc_003 user2-yə aiddir</t>
  </si>
  <si>
    <t>1) POST /auth/login (user1@test.com / User1234) 2) POST /cards Body: {"accountId":"acc_003","initialAmount":100}</t>
  </si>
  <si>
    <t>403 {"code":"FORBIDDEN"} — sistem acc_003 hesabının mövcud olduğunu təsdiqləmiş olur. Digər bütün endpoint-lərdə (GET /cards/{id}, DELETE /beneficiaries/{id}, POST /cards/{id}/block) başqasının resursu 404 qaytarır</t>
  </si>
  <si>
    <t>Backlog-un ümumi qaydasına görə başqa istifadəçinin resursu 404 qaytarmalıdır (403 yox) — mövcudluq gizlədilməlidir. Qeyd: GRAD-201 AC-5 403 gözləyir → tələblərdə ziddiyyət; PO ilə dəqiqləşdirilməlidir (GQ_API_01)</t>
  </si>
  <si>
    <t>TC_API_CARD_014, GQ_API_01</t>
  </si>
  <si>
    <t>Callman: request + response</t>
  </si>
  <si>
    <t>BUG_API_002</t>
  </si>
  <si>
    <t>Auth xəta cavablarında (POST /auth/login və müddəti bitmiş token) "code" sahəsi yoxdur — API-nin vahid xəta formatına uyğun deyil</t>
  </si>
  <si>
    <t>API → POST /auth/login; token yoxlaması (401)</t>
  </si>
  <si>
    <t>Trivial</t>
  </si>
  <si>
    <t>1) POST /auth/login Body: {"email":"user1@test.com","password":"Wrong999"}</t>
  </si>
  <si>
    <t>1) Login: 401 {"error":"Email və ya şifrə yanlışdır"} — "code" yoxdur. 2) 24 saatdan köhnə token ilə GET /beneficiaries (10.10.2026): 401 {"error":"Token etibarsızdır və ya müddəti bitib"} — "code" yoxdur</t>
  </si>
  <si>
    <t>Backlog qaydası: biznes xətaları {"error","code"} formatındadır və assert code-a yazılmalıdır. Auth xətaları da sabit code qaytarmalıdır (məs. "INVALID_CREDENTIALS", "TOKEN_EXPIRED")</t>
  </si>
  <si>
    <t>TC_API_AUTH_002, TC_API_SEC_004, GQ_API_13</t>
  </si>
  <si>
    <t>Callman: response</t>
  </si>
  <si>
    <t>BUG_API_003</t>
  </si>
  <si>
    <t>GET /me/accounts: müddəti bitmiş kart (card_002, 08/2026) "active" statusu ilə qaytarılır</t>
  </si>
  <si>
    <t>API → GET /me/accounts (backlog scope-undan kənar, kəşfiyyat zamanı tapılıb)</t>
  </si>
  <si>
    <t>user1 token; cari tarix 08.10.2026</t>
  </si>
  <si>
    <t>1) POST /auth/login (user1) 2) GET /me/accounts</t>
  </si>
  <si>
    <t>data[0].cards: {"id":"card_002","expiryMonth":8,"expiryYear":2026,"status":"active"} — kartın müddəti 2 ay əvvəl bitib</t>
  </si>
  <si>
    <t>Müddəti bitmiş kart "expired" (və ya qeyri-aktiv) statusunda olmalıdır və ödənişdə istifadə edilə bilməməlidir</t>
  </si>
  <si>
    <t>TC_API_CARD_021 (SETUP)</t>
  </si>
  <si>
    <t>BUG_API_004</t>
  </si>
  <si>
    <t>API vaxtaşırı etibarlı sorğulara 500 "Network connection lost" qaytarır</t>
  </si>
  <si>
    <t>API → bütün endpoint-lər (POST /beneficiaries, POST /cards, GET /billers və s.)</t>
  </si>
  <si>
    <t>API: https://api.anarabbas.com | Gauge+RestAssured | 08.10.2026 14:52–14:55</t>
  </si>
  <si>
    <t>Etibarlı token; düzgün body</t>
  </si>
  <si>
    <t>1) Tam API regression run-u işlət (mvn test "-Dgauge.specs.dir=specs/api-testing/final-project") 2) Logda 500 cavablarını izlə</t>
  </si>
  <si>
    <t>123 ssenaridən 23-ü düşdü: server 500 {"error":"Server xətası","detail":"Network connection lost."} qaytardı; bəzi sorğular 10–13 san çəkdi. Eyni sorğular bir neçə saniyə əvvəl/sonra 201/200 ilə keçdi. Təkrar run (15:21) — 123/123 PASS</t>
  </si>
  <si>
    <t>Etibarlı sorğular sabit şəkildə gözlənilən status (200/201/4xx) qaytarmalıdır; daxili bağlantı xətaları müştəriyə 500 kimi sızmamalı, lazım olsa 503 + Retry-After qaytarılmalıdır</t>
  </si>
  <si>
    <t>Bütün API regression (intermittent)</t>
  </si>
  <si>
    <t>Gauge HTML report + terminal log</t>
  </si>
  <si>
    <t>API Test Plan — Final Project Backlog (api.anarabbas.com)</t>
  </si>
  <si>
    <t>Məqsəd</t>
  </si>
  <si>
    <t>Final project backlog-undakı 10 task-ın (3 epic, 37 SP) acceptance criteria-ya uyğunluğunu yoxlamaq, bug-ları aşkar etmək və regression ssenarilərini avtomatlaşdırmaq.</t>
  </si>
  <si>
    <t>Test obyekti</t>
  </si>
  <si>
    <t>Base URL: https://api.anarabbas.com — EPIC-1 Saxlanmış alıcılar (GRAD-101/102/103), EPIC-2 Virtual kartlar (GRAD-201/202/203/204), EPIC-3 Kommunal ödənişlər (GRAD-301/302/303) + POST /auth/login.</t>
  </si>
  <si>
    <t>Scope — daxil</t>
  </si>
  <si>
    <t>Funksional (pozitiv/neqativ), validasiya (EP, BVA), biznes qaydaları (komissiya, limitlər, idempotency), state transition (kart statusu), təhlükəsizlik (401, IDOR → 404, PAN/CVV sızmaması), contract (JSON Schema), yoxlama ardıcıllığı.</t>
  </si>
  <si>
    <t>Scope — xaric</t>
  </si>
  <si>
    <t>Performans/yük testi (yalnız rate limit bir dəfə manual), UI, DB səviyyəsində yoxlama, backlog-da təsvir olunmayan endpoint-lər (GET /me/accounts yalnız test datası üçün).</t>
  </si>
  <si>
    <t>Test texnikaları</t>
  </si>
  <si>
    <t>Equivalence partitioning, Boundary value analysis (fullName, IBAN, nickname, initialAmount, amount, Idempotency-Key, limit/page, gündəlik/tranzaksiya limiti), Decision table (yoxlama ardıcıllığı, filtr birləşmələri), State transition (GRAD-203/204 — 9 xanalı keçid cədvəli), Error guessing (tip qarışıqlığı, normallaşdırma, IDOR). Decision table-lar ayrıca: API_Decision Table sheet-i (GRAD-302, GRAD-201). Hər TC-nin texnikası API_Test Cases → "Test texnikası" sütunundadır.</t>
  </si>
  <si>
    <t>Mühit və test data</t>
  </si>
  <si>
    <t>3 test user (admin, user1, user2). Sandbox token-ə bağlıdır: hər yeni login boş mühit açır, data 24 saat yaşayır. Avtomat testlərdə hər ssenaridən əvvəl yeni login edilir (təmiz sandbox) — testlər müstəqildir, limitlər (10 alıcı, 3 kart) və receiptNo deterministikdir. Test datası testin özündə yaradılır (alıcı, kart, ödəniş) — hardcode id yoxdur. IDOR testləri üçün user2 token-i ayrıca alınır.</t>
  </si>
  <si>
    <t>Manual icra</t>
  </si>
  <si>
    <t>CallMan: collection (11 qovluq = 11 ssenari) + environment (baseUrl, token, user2Token, cardId, benId, uuid). Token login sorğusunun test skriptində environment-ə yazılır, assertion-lar hər sorğuda (status + code + body). Collection Runner ilə icra.</t>
  </si>
  <si>
    <t>İki səviyyə: (1) RestAssured + JUnit 5 + Allure layihəsi (final-project-api-restassured): request/response POJO-lar (pul sahələri BigDecimal), base request spec (ApiSpec), token setup (BaseTest @BeforeEach), API client class-ları, data-driven BVA (@ParameterizedTest + @CsvSource), state transition cədvəli, 6 JSON Schema, Allure (@Epic/@Feature/@Story/@Severity, hər request/response hesabatda) — 166 test icrası, 130 TC. (2) Kursun Gauge arxitekturası (RestAssured əsaslı step-lər) — 123 ssenari. Kriteriya: P1/P2 + deterministik nəticə → avtomat; P3/P4 və zamandan asılı testlər → manual (CallMan). Assert-lər mətnə yox, code-a yazılır.</t>
  </si>
  <si>
    <t>Entry kriteriyaları</t>
  </si>
  <si>
    <t>Backlog statusu "Ready for QA"; test mühiti və test user-lər əlçatandır; grooming sualları üzrə fərziyyələr qeyd olunub.</t>
  </si>
  <si>
    <t>Exit kriteriyaları</t>
  </si>
  <si>
    <t>Bütün P1 TC-lər icra olunub; P1/P2 avtomat regression ardıcıl 3 run-da stabil (flaky yoxdur); bütün AC-lər ən azı 1 TC ilə əhatə olunub (API_Traceability); tapılan bug-lar Bug Reports sheet-ində sənədləşdirilib.</t>
  </si>
  <si>
    <t>1) spentToday Bakı vaxtı 00:00-da sıfırlanır — limit testləri gecə yarısına yaxın flaky ola bilər. 2) Sandbox limitləri (10 alıcı, 3 kart) test sırasından asılılıq yarada bilər → test özü datanı yaradır və təmizləyir. 3) Backlog-da ziddiyyət (403 vs 404) — GQ_API_01. 4) Rate limit (600/10 san) — paralel run-da nəzərə alınmalıdır.</t>
  </si>
  <si>
    <t>Təhvil veriləcəklər</t>
  </si>
  <si>
    <t>Test plan (bu sheet), API test case-lər + traceability + decision table, CallMan collection + environment (export), bug report-lar, RestAssured layihəsi (GitHub), Allure report (single-file HTML), təqdimat.</t>
  </si>
  <si>
    <t>Endpoint / Resource</t>
  </si>
  <si>
    <t>Avtomat TC</t>
  </si>
  <si>
    <t>SC_API_01</t>
  </si>
  <si>
    <t>POST /auth/login + bütün endpoint-lər</t>
  </si>
  <si>
    <t>Autentifikasiya, token və ümumi qaydalar: 401 (tokensiz / saxta / prefikssiz / vaxtı bitmiş token), sandbox izolyasiyası, rate limit, həssas məlumatın (PAN/CVV) sızmaması</t>
  </si>
  <si>
    <t>SC_API_02</t>
  </si>
  <si>
    <t>POST /beneficiaries (GRAD-101)</t>
  </si>
  <si>
    <t>Yeni alıcı əlavə etmək: uğurlu yaradılma, IBAN normallaşdırması, fullName/IBAN/nickname validasiyası (EP + BVA), dublikat IBAN və ləqəb, öz hesabı, 10 alıcı limiti, yoxlama ardıcıllığı</t>
  </si>
  <si>
    <t>SC_API_03</t>
  </si>
  <si>
    <t>GET /beneficiaries (GRAD-102)</t>
  </si>
  <si>
    <t>Alıcılar siyahısı: default sıralama, fullName/createdAt sıralaması (Azərbaycan əlifbası), valyuta filtri, I/İ/ı fərqi olmadan axtarış, ləqəbə görə axtarış, q BVA, boş nəticə, AND məntiqi</t>
  </si>
  <si>
    <t>SC_API_04</t>
  </si>
  <si>
    <t>DELETE /beneficiaries/{id} (GRAD-103)</t>
  </si>
  <si>
    <t>Alıcını silmək: 204, yarat-sil-oxu, təkrar silmə, başqasının alıcısı (IDOR → 404), silinmədən sonra IBAN və limit yerinin azad olması</t>
  </si>
  <si>
    <t>SC_API_05</t>
  </si>
  <si>
    <t>POST /cards (GRAD-201)</t>
  </si>
  <si>
    <t>Virtual kart buraxmaq: uğurlu buraxılış və standart limitlər, maskedPan/expiry formatı, initialAmount BVA və tip validasiyası, başqasının hesabı, balans çatışmazlığı, 3 kart limiti (ACTIVE/FROZEN sayılır, BLOCKED sayılmır)</t>
  </si>
  <si>
    <t>SC_API_06</t>
  </si>
  <si>
    <t>GET /cards/{id} (GRAD-202)</t>
  </si>
  <si>
    <t>Kart məlumatı: POST ilə uyğunluq, ödənişdən sonra availableBalance/spentToday yenilənməsi, başqasının kartı (404)</t>
  </si>
  <si>
    <t>SC_API_07</t>
  </si>
  <si>
    <t>POST /cards/{id}/block (GRAD-203)</t>
  </si>
  <si>
    <t>Kartı bloklamaq / dondurmaq: state transition cədvəlinin 9 xanası, reason validasiyası, INVALID_JSON, yoxlama ardıcıllığı, FROZEN/BLOCKED kartla ödənişin rədd edilməsi</t>
  </si>
  <si>
    <t>SC_API_08</t>
  </si>
  <si>
    <t>POST /cards/{id}/unblock (GRAD-204)</t>
  </si>
  <si>
    <t>Dondurulmuş kartı açmaq: FROZEN → ACTIVE, ACTIVE və BLOCKED kartlar üçün 409, açılmış kartla ödəniş, dondur-aç-dondur dövrü</t>
  </si>
  <si>
    <t>SC_API_09</t>
  </si>
  <si>
    <t>GET /billers (GRAD-301)</t>
  </si>
  <si>
    <t>Təchizatçı kataloqu: 6 təchizatçı, kataloq datası və komissiya qaydaları, kateqoriya filtri, etibarsız kateqoriya, contract</t>
  </si>
  <si>
    <t>SC_API_10</t>
  </si>
  <si>
    <t>POST /bill-payments (GRAD-302)</t>
  </si>
  <si>
    <t>Kommunal ödəniş: komissiya hesablanması (faiz/sabit, min/max, yuvarlaqlaşdırma), balans və spentToday, receiptNo, idempotency (replay / conflict / açar BVA), abunəçi formatı, məbləğ aralığı, tranzaksiya və gündəlik limit, balans çatışmazlığı (total üzrə), kart statusu və valyutası</t>
  </si>
  <si>
    <t>SC_API_11</t>
  </si>
  <si>
    <t>GET /bill-payments (GRAD-303)</t>
  </si>
  <si>
    <t>Ödəniş tarixçəsi: default sıralama, səhifələmə (page/limit BVA, boş səhifə), tarix filtri (inclusive, etibarsız tarix, from &gt; to), təchizatçı və kart filtri, filtrdən sonrakı total</t>
  </si>
  <si>
    <t>Cəmi</t>
  </si>
  <si>
    <t>Endpoint</t>
  </si>
  <si>
    <t>Method</t>
  </si>
  <si>
    <t>Request (Headers / Params / Body)</t>
  </si>
  <si>
    <t>Expected Status Code</t>
  </si>
  <si>
    <t>Expected Response (Body / Headers)</t>
  </si>
  <si>
    <t>Manual/Automation əsaslandırması</t>
  </si>
  <si>
    <t>Test texnikası</t>
  </si>
  <si>
    <t>Acceptance Criteria (Traceability)</t>
  </si>
  <si>
    <t>RestAssured (JUnit 5 + Allure)</t>
  </si>
  <si>
    <t>TC_API_AUTH_001</t>
  </si>
  <si>
    <t>Etibarlı user1 məlumatları ilə login → token qaytarılır</t>
  </si>
  <si>
    <t>/auth/login</t>
  </si>
  <si>
    <t>POST</t>
  </si>
  <si>
    <t>Test user mövcuddur</t>
  </si>
  <si>
    <t>Content-Type: application/json
Body: {"email":"user1@test.com","password":"User1234"}</t>
  </si>
  <si>
    <t>200</t>
  </si>
  <si>
    <t>token: boş deyil (notNull)
user.email = "user1@test.com"
Cavabda password sahəsi YOXDUR</t>
  </si>
  <si>
    <t>Deterministik nəticə, yalnız API ilə yoxlanılır, hər relizdə təkrarlanmalıdır → avtomat</t>
  </si>
  <si>
    <t>Ümumi: Token al</t>
  </si>
  <si>
    <t>Callman icrası: status 200; gözlənilən body/code ilə üst-üstə düşür (bütün assertion-lar PASS). PASS.</t>
  </si>
  <si>
    <t>08.10.2026</t>
  </si>
  <si>
    <t>Yes — AuthSecurityTest</t>
  </si>
  <si>
    <t>TC_API_AUTH_002</t>
  </si>
  <si>
    <t>Yanlış şifrə ilə login rədd edilir və hansı sahənin səhv olduğu açıqlanmır</t>
  </si>
  <si>
    <t>Auth</t>
  </si>
  <si>
    <t>Body: {"email":"user1@test.com","password":"Wrong999"}</t>
  </si>
  <si>
    <t>401</t>
  </si>
  <si>
    <t>token sahəsi yoxdur
Xəta mesajı "şifrə səhvdir" kimi konkret sahəni açıqlamır (user enumeration riski)</t>
  </si>
  <si>
    <t>EP / Error guessing</t>
  </si>
  <si>
    <t>Ümumi: 401</t>
  </si>
  <si>
    <t>401 qaytarıldı, token yoxdur. Cavab: {"error":"Email və ya şifrə yanlışdır"} — hansı sahənin səhv olduğu açıqlanmır. Müşahidə: login xətasında digər endpoint-lərdən fərqli olaraq "code" sahəsi yoxdur (BUG_API_002). PASS.</t>
  </si>
  <si>
    <t>TC_API_SEC_001</t>
  </si>
  <si>
    <t>Token olmadan qorunan endpoint-lər 401 qaytarır (data-driven, 10 endpoint)</t>
  </si>
  <si>
    <t>Bütün qorunan endpoint-lər</t>
  </si>
  <si>
    <t>GET</t>
  </si>
  <si>
    <t>Authorization header YOXDUR
Cədvəl: GET /beneficiaries, POST /beneficiaries, DELETE /beneficiaries/{id}, POST /cards, GET /cards/{id}, POST /cards/{id}/block, POST /cards/{id}/unblock, GET /billers, POST /bill-payments, GET /bill-payments</t>
  </si>
  <si>
    <t>Hər endpoint üçün status 401; cavabda data qaytarılmır</t>
  </si>
  <si>
    <t>Hər endpoint üçün eyni qayda → bir data-driven avtomat test ilə tam əhatə</t>
  </si>
  <si>
    <t>EP / Decision table</t>
  </si>
  <si>
    <t>Ümumi: Token yoxdur → 401</t>
  </si>
  <si>
    <t>Callman icrası: status 401; gözlənilən body/code ilə üst-üstə düşür (bütün assertion-lar PASS). PASS.</t>
  </si>
  <si>
    <t>TC_API_SEC_002</t>
  </si>
  <si>
    <t>Saxta (uydurma) token ilə sorğu 401 qaytarır</t>
  </si>
  <si>
    <t>/beneficiaries</t>
  </si>
  <si>
    <t>Authorization: Bearer abc.invalid.token</t>
  </si>
  <si>
    <t>Cavabda alıcı datası yoxdur</t>
  </si>
  <si>
    <t>Ümumi: Token saxtadır → 401</t>
  </si>
  <si>
    <t>TC_API_SEC_003</t>
  </si>
  <si>
    <t>"Bearer" prefiksi olmadan göndərilən token 401 qaytarır</t>
  </si>
  <si>
    <t>Etibarlı token alınıb</t>
  </si>
  <si>
    <t>Authorization: {{token}} (Bearer sözü YOXDUR)</t>
  </si>
  <si>
    <t>Sorğu rədd edilir</t>
  </si>
  <si>
    <t>TC_API_SEC_004</t>
  </si>
  <si>
    <t>Müddəti bitmiş (24 saatdan köhnə) token 401 qaytarır</t>
  </si>
  <si>
    <t>24 saat əvvəl alınmış token</t>
  </si>
  <si>
    <t>Authorization: Bearer {{expiredToken}}</t>
  </si>
  <si>
    <t>24 saat gözləmə tələb edir — avtomat run-da praktik deyil → manual</t>
  </si>
  <si>
    <t>Ümumi: Müddəti bitib → 401</t>
  </si>
  <si>
    <t>Callman: 09.10.2026 23:43-də alınmış token ilə 10.10.2026 23:56-da (24 saat 13 dəq sonra) GET /beneficiaries → 401 {"error":"Token etibarsızdır və ya müddəti bitib"}. Data qaytarılmadı. Qeyd: cavabda "code" sahəsi yoxdur — BUG_API_002 ilə eyni müşahidə.</t>
  </si>
  <si>
    <t>10.10.2026</t>
  </si>
  <si>
    <t>No (manual / Gauge)</t>
  </si>
  <si>
    <t>TC_API_SEC_005</t>
  </si>
  <si>
    <t>Yeni login yeni, boş sandbox açır (data izolyasiyası)</t>
  </si>
  <si>
    <t>Token A ilə 1 alıcı yaradılıb; sonra eyni user ilə yeni login → Token B</t>
  </si>
  <si>
    <t>Authorization: Bearer {{tokenB}}</t>
  </si>
  <si>
    <t>total = 0, items = [] (Token A-nın datası Token B-də görünmür)</t>
  </si>
  <si>
    <t>Sandbox qaydası</t>
  </si>
  <si>
    <t>Token A ilə alıcı yaradıldıqdan sonra yeni login (Token B): GET /beneficiaries → total 0, items []. Sandbox izolyasiyası işləyir. PASS.</t>
  </si>
  <si>
    <t>TC_API_SEC_006</t>
  </si>
  <si>
    <t>Sorğu limiti aşıldıqda 429 RATE_LIMITED və Retry-After qaytarılır</t>
  </si>
  <si>
    <t>/billers</t>
  </si>
  <si>
    <t>Etibarlı token</t>
  </si>
  <si>
    <t>10 saniyə ərzində 601+ sorğu (CallMan Runner, iteration 601, delay 0)</t>
  </si>
  <si>
    <t>429</t>
  </si>
  <si>
    <t>code = "RATE_LIMITED"
Header Retry-After: 10</t>
  </si>
  <si>
    <t>Yük xarakterli test, regresiyada sandbox-u bloklayır → yalnız manual, bir dəfə</t>
  </si>
  <si>
    <t>Ümumi: 600 sorğu / 10 san → 429</t>
  </si>
  <si>
    <t>PowerShell (HttpClient, paralel): 1 token ilə GET /billers × 700 → 608 × 200, 92 × 429. 429 cavabı: {"error":"Bu sessiya üçün sorğu limiti aşıldı. 10 saniyə gözləyin.","code":"RATE_LIMITED","retryAfter":10}; header Retry-After: 10 (CORS-da expose olunub). 600-dən artıq 200 (608) — sorğuların bir hissəsi növbəti 10 san pəncərəyə düşüb, qüsur deyil. Limit sessiyaya (token-ə) bağlıdır.</t>
  </si>
  <si>
    <t>09.10.2026</t>
  </si>
  <si>
    <t>TC_API_SEC_007</t>
  </si>
  <si>
    <t>Kart cavabında tam kart nömrəsi (PAN) və CVV qaytarılmır</t>
  </si>
  <si>
    <t>/cards</t>
  </si>
  <si>
    <t>user1 token</t>
  </si>
  <si>
    <t>Authorization: Bearer {{token}}
Content-Type: application/json
Body: {"accountId":"acc_002","initialAmount":10}</t>
  </si>
  <si>
    <t>201</t>
  </si>
  <si>
    <t>maskedPan maskalıdır ("4169 73** **** NNNN")
Cavabda pan, cardNumber, cvv, cvc sahələri YOXDUR</t>
  </si>
  <si>
    <t>Təhlükəsizlik yoxlaması, hər relizdə qorunmalıdır → avtomat</t>
  </si>
  <si>
    <t>GRAD-201 AC-2 / Təhlükəsizlik</t>
  </si>
  <si>
    <t>CARD_001 cavabında maskedPan maskalıdır; pan, cardNumber, cvv, cvc sahələri yoxdur. PASS.</t>
  </si>
  <si>
    <t>Yes — CardTest.Create</t>
  </si>
  <si>
    <t>TC_API_BEN_001</t>
  </si>
  <si>
    <t>Bütün sahələrlə etibarlı alıcı yaradılır (201, Location header)</t>
  </si>
  <si>
    <t>Token: user1@test.com / User1234 (POST /auth/login, bütün testlər eyni sandbox token-i ilə); alıcı siyahısı boş</t>
  </si>
  <si>
    <t>Authorization: Bearer {{token}}
Content-Type: application/json
Body: {"fullName":"Nigar Əliyeva","iban":"AZ77AIIB40060019440123456789","currency":"AZN","nickname":"Anam"}</t>
  </si>
  <si>
    <t>id: "ben_" + 8 simvol (regex ^ben_[a-z0-9]{8}$)
fullName = "Nigar Əliyeva", iban = "AZ77AIIB40060019440123456789", currency = "AZN", nickname = "Anam"
createdAt: ISO-8601, boş deyil
Header Location = /beneficiaries/{id}</t>
  </si>
  <si>
    <t>GRAD-101 AC-1</t>
  </si>
  <si>
    <t>Callman icrası: status 201; gözlənilən body/code ilə üst-üstə düşür (bütün assertion-lar PASS). PASS.</t>
  </si>
  <si>
    <t>Yes — BeneficiaryTest.Create</t>
  </si>
  <si>
    <t>TC_API_BEN_002</t>
  </si>
  <si>
    <t>Alıcı cavabı JSON Schema-ya uyğundur</t>
  </si>
  <si>
    <t>Schema / Contract</t>
  </si>
  <si>
    <t>Token: user1@test.com / User1234 (POST /auth/login, bütün testlər eyni sandbox token-i ilə)</t>
  </si>
  <si>
    <t>Authorization: Bearer {{token}}
Content-Type: application/json
Body: {"fullName":"Rauf Məmmədov","iban":"AZ12NABZ00000000000000000001","currency":"USD"}</t>
  </si>
  <si>
    <t>Cavab beneficiary-schema.json-a uyğundur: id, fullName, iban, ibanMasked, currency (string); nickname (string|null); createdAt (string)</t>
  </si>
  <si>
    <t>Struktur (contract) yoxlaması — API dəyişəndə ilk sınan yer → avtomat</t>
  </si>
  <si>
    <t>TC_API_BEN_003</t>
  </si>
  <si>
    <t>Boşluqlu və kiçik hərfli IBAN normallaşdırılır, ibanMasked düzgündür</t>
  </si>
  <si>
    <t>Authorization: Bearer {{token}}
Content-Type: application/json
Body: {"fullName":"Nigar Əliyeva","iban":"az77 aiib 4006 0019 4401 2345 6789","currency":"AZN"}</t>
  </si>
  <si>
    <t>iban = "AZ77AIIB40060019440123456789" (boşluqsuz, böyük hərf)
ibanMasked = "AZ77 **** **** **** **** 6789"</t>
  </si>
  <si>
    <t>GRAD-101 AC-2</t>
  </si>
  <si>
    <t>iban = "AZ12NABZ00000000000000000099" (boşluqsuz, böyük hərf), ibanMasked = "AZ12 **** **** **** **** 0099". PASS.</t>
  </si>
  <si>
    <t>TC_API_BEN_004</t>
  </si>
  <si>
    <t>nickname göndərilmədikdə cavabda null qaytarılır</t>
  </si>
  <si>
    <t>Authorization: Bearer {{token}}
Content-Type: application/json
Body: {"fullName":"Elvin Quliyev","iban":"AZ12NABZ00000000000000000002","currency":"EUR"}</t>
  </si>
  <si>
    <t>nickname = null (sahə mövcuddur, dəyəri null)</t>
  </si>
  <si>
    <t>GRAD-101 AC-3</t>
  </si>
  <si>
    <t>TC_API_BEN_005</t>
  </si>
  <si>
    <t>Bir neçə səhv sahədə hər biri details-də ayrıca göstərilir</t>
  </si>
  <si>
    <t>Authorization: Bearer {{token}}
Content-Type: application/json
Body: {"fullName":"A","iban":"123","currency":"GBP"}</t>
  </si>
  <si>
    <t>400</t>
  </si>
  <si>
    <t>code = "VALIDATION_ERROR"
details.size() = 3
details.field: "fullName", "iban", "currency" (hər biri {field, message})</t>
  </si>
  <si>
    <t>Neqativ validasiya qaydası — kod (code) üzrə stabil assert, regresiyada qorunmalıdır</t>
  </si>
  <si>
    <t>GRAD-101 AC-4</t>
  </si>
  <si>
    <t>400 VALIDATION_ERROR; details-də fullName, iban, currency hər biri ayrıca {field, message} ilə qaytarıldı. (İlk run-da Callman include.members funksiyasını dəstəkləmədiyi üçün assertion skripti düşmüşdü — skript düzəldildi, təkrar run PASS.) PASS.</t>
  </si>
  <si>
    <t>TC_API_BEN_006</t>
  </si>
  <si>
    <t>fullName 1 simvol (min−1) rədd edilir</t>
  </si>
  <si>
    <t>Authorization: Bearer {{token}}
Content-Type: application/json
Body: {"fullName":"A","iban":"AZ12NABZ00000000000000000003","currency":"AZN"}</t>
  </si>
  <si>
    <t>code = "VALIDATION_ERROR", details[0].field = "fullName"</t>
  </si>
  <si>
    <t>BVA hədd dəyəri — data-driven avtomat test üçün ideal (sürətli, təkrarlanan)</t>
  </si>
  <si>
    <t>GRAD-101 AC-5</t>
  </si>
  <si>
    <t>Callman icrası: status 400; gözlənilən body/code ilə üst-üstə düşür (bütün assertion-lar PASS). PASS.</t>
  </si>
  <si>
    <t>TC_API_BEN_007</t>
  </si>
  <si>
    <t>fullName 2 simvol (min) qəbul edilir</t>
  </si>
  <si>
    <t>Authorization: Bearer {{token}}
Content-Type: application/json
Body: {"fullName":"Al","iban":"AZ12NABZ00000000000000000004","currency":"AZN"}</t>
  </si>
  <si>
    <t>fullName = "Al"</t>
  </si>
  <si>
    <t>TC_API_BEN_008</t>
  </si>
  <si>
    <t>fullName 50 simvol (max) qəbul edilir</t>
  </si>
  <si>
    <t>Authorization: Bearer {{token}}
Content-Type: application/json
Body: {"fullName":"AAAAAAAAAAAAAAAAAAAAAAAAAAAAAAAAAAAAAAAAAAAAAAAAAA","iban":"AZ12NABZ00000000000000000005","currency":"AZN"}</t>
  </si>
  <si>
    <t>fullName uzunluğu = 50</t>
  </si>
  <si>
    <t>TC_API_BEN_009</t>
  </si>
  <si>
    <t>fullName 51 simvol (max+1) rədd edilir</t>
  </si>
  <si>
    <t>Authorization: Bearer {{token}}
Content-Type: application/json
Body: {"fullName":"AAAAAAAAAAAAAAAAAAAAAAAAAAAAAAAAAAAAAAAAAAAAAAAAAAA","iban":"AZ12NABZ00000000000000000006","currency":"AZN"}</t>
  </si>
  <si>
    <t>TC_API_BEN_010</t>
  </si>
  <si>
    <t>fullName trim-dən sonra 1 simvol qalırsa rədd edilir</t>
  </si>
  <si>
    <t>Authorization: Bearer {{token}}
Content-Type: application/json
Body: {"fullName":"  A  ","iban":"AZ12NABZ00000000000000000007","currency":"AZN"}</t>
  </si>
  <si>
    <t>code = "VALIDATION_ERROR", field = "fullName" (uzunluq trim-dən sonra hesablanır)</t>
  </si>
  <si>
    <t>Aşağı prioritetli yoxlama — CallMan collection-da manual icra kifayətdir; regression dəstinə daxil edilmir (avtomatlaşdırma P1/P2 regression ssenarilərinə fokuslanıb)</t>
  </si>
  <si>
    <t>BVA / Error guessing</t>
  </si>
  <si>
    <t>TC_API_BEN_011</t>
  </si>
  <si>
    <t>fullName yalnız defislərdən ("---") ibarət olduqda rədd edilir</t>
  </si>
  <si>
    <t>Authorization: Bearer {{token}}
Content-Type: application/json
Body: {"fullName":"---","iban":"AZ12NABZ00000000000000000008","currency":"AZN"}</t>
  </si>
  <si>
    <t>code = "VALIDATION_ERROR", field = "fullName" (hərflə başlamır)</t>
  </si>
  <si>
    <t>GRAD-101 AC-6</t>
  </si>
  <si>
    <t>TC_API_BEN_012</t>
  </si>
  <si>
    <t>fullName rəqəm ehtiva etdikdə ("Ali2") rədd edilir</t>
  </si>
  <si>
    <t>Authorization: Bearer {{token}}
Content-Type: application/json
Body: {"fullName":"Ali2","iban":"AZ12NABZ00000000000000000009","currency":"AZN"}</t>
  </si>
  <si>
    <t>code = "VALIDATION_ERROR", field = "fullName"</t>
  </si>
  <si>
    <t>TC_API_BEN_013</t>
  </si>
  <si>
    <t>fullName-də Azərbaycan hərfləri, defis və apostrof qəbul edilir</t>
  </si>
  <si>
    <t>Authorization: Bearer {{token}}
Content-Type: application/json
Body: {"fullName":"Şəhla Güləliyeva-O'Neil","iban":"AZ12NABZ00000000000000000010","currency":"AZN"}</t>
  </si>
  <si>
    <t>fullName = "Şəhla Güləliyeva-O'Neil" (UTF-8 simvollar korlanmır)</t>
  </si>
  <si>
    <t>GRAD-101 Parametrlər</t>
  </si>
  <si>
    <t>TC_API_BEN_014</t>
  </si>
  <si>
    <t>IBAN 27 simvol (min−1) rədd edilir</t>
  </si>
  <si>
    <t>Authorization: Bearer {{token}}
Content-Type: application/json
Body: {"fullName":"Test Bir","iban":"AZ77AIIB4006001944012345678","currency":"AZN"}</t>
  </si>
  <si>
    <t>code = "VALIDATION_ERROR", field = "iban"</t>
  </si>
  <si>
    <t>GRAD-101 Parametrlər (28 simvol)</t>
  </si>
  <si>
    <t>TC_API_BEN_015</t>
  </si>
  <si>
    <t>IBAN 29 simvol (max+1) rədd edilir</t>
  </si>
  <si>
    <t>Authorization: Bearer {{token}}
Content-Type: application/json
Body: {"fullName":"Test Bir","iban":"AZ77AIIB400600194401234567890","currency":"AZN"}</t>
  </si>
  <si>
    <t>TC_API_BEN_016</t>
  </si>
  <si>
    <t>Başqa ölkə prefiksli IBAN (TR) rədd edilir</t>
  </si>
  <si>
    <t>Authorization: Bearer {{token}}
Content-Type: application/json
Body: {"fullName":"Test Bir","iban":"TR77AIIB40060019440123456789","currency":"AZN"}</t>
  </si>
  <si>
    <t>GRAD-101 Parametrlər (AZ IBAN)</t>
  </si>
  <si>
    <t>TC_API_BEN_017</t>
  </si>
  <si>
    <t>IBAN-da bank kodu yerində rəqəm olduqda rədd edilir</t>
  </si>
  <si>
    <t>Authorization: Bearer {{token}}
Content-Type: application/json
Body: {"fullName":"Test Bir","iban":"AZ7712344006001944012345678X","currency":"AZN"}</t>
  </si>
  <si>
    <t>code = "VALIDATION_ERROR", field = "iban" (AZ + 2 rəqəm + 4 HƏRF qaydası)</t>
  </si>
  <si>
    <t>TC_API_BEN_018</t>
  </si>
  <si>
    <t>Siyahıda olmayan valyuta (GBP) rədd edilir</t>
  </si>
  <si>
    <t>Authorization: Bearer {{token}}
Content-Type: application/json
Body: {"fullName":"Test Bir","iban":"AZ12NABZ00000000000000000011","currency":"GBP"}</t>
  </si>
  <si>
    <t>code = "VALIDATION_ERROR", field = "currency"</t>
  </si>
  <si>
    <t>TC_API_BEN_019</t>
  </si>
  <si>
    <t>nickname 20 simvol (max) qəbul, 21 simvol (max+1) rədd edilir</t>
  </si>
  <si>
    <t>Authorization: Bearer {{token}}
Content-Type: application/json
Body: A) nickname = "NNNNNNNNNNNNNNNNNNNN" (iban ...012)
B) nickname = "NNNNNNNNNNNNNNNNNNNNN" (iban ...013)</t>
  </si>
  <si>
    <t>A) 201 / B) 400</t>
  </si>
  <si>
    <t>A) nickname uzunluğu 20
B) code = "VALIDATION_ERROR", field = "nickname"</t>
  </si>
  <si>
    <t>GRAD-101 Parametrlər (1–20)</t>
  </si>
  <si>
    <t>Callman icrası: status A) 201 / B) 400; gözlənilən body/code ilə üst-üstə düşür (bütün assertion-lar PASS). PASS.</t>
  </si>
  <si>
    <t>TC_API_BEN_020</t>
  </si>
  <si>
    <t>Boş nickname ("") rədd edilir</t>
  </si>
  <si>
    <t>Authorization: Bearer {{token}}
Content-Type: application/json
Body: {"fullName":"Test Bir","iban":"AZ12NABZ00000000000000000014","currency":"AZN","nickname":""}</t>
  </si>
  <si>
    <t>code = "VALIDATION_ERROR", field = "nickname" (min 1 simvol)</t>
  </si>
  <si>
    <t>TC_API_BEN_021</t>
  </si>
  <si>
    <t>Məcburi iban sahəsi göndərilmədikdə rədd edilir</t>
  </si>
  <si>
    <t>Authorization: Bearer {{token}}
Content-Type: application/json
Body: {"fullName":"Test Bir","currency":"AZN"}</t>
  </si>
  <si>
    <t>code = "VALIDATION_ERROR", details-də field = "iban"</t>
  </si>
  <si>
    <t>GRAD-101 Parametrlər (məcburi)</t>
  </si>
  <si>
    <t>TC_API_BEN_022</t>
  </si>
  <si>
    <t>fullName string əvəzinə rəqəm (123) göndərildikdə rədd edilir</t>
  </si>
  <si>
    <t>Authorization: Bearer {{token}}
Content-Type: application/json
Body: {"fullName":123,"iban":"AZ12NABZ00000000000000000015","currency":"AZN"}</t>
  </si>
  <si>
    <t>GRAD-101 Parametrlər (tip)</t>
  </si>
  <si>
    <t>TC_API_BEN_023</t>
  </si>
  <si>
    <t>Etibarsız JSON body rədd edilir</t>
  </si>
  <si>
    <t>Authorization: Bearer {{token}}
Content-Type: application/json
Body: {"fullName": "Test", (bağlanmamış JSON)</t>
  </si>
  <si>
    <t>code = "INVALID_JSON"</t>
  </si>
  <si>
    <t>GRAD-101 Xəta: INVALID_JSON</t>
  </si>
  <si>
    <t>TC_API_BEN_024</t>
  </si>
  <si>
    <t>Eyni IBAN ikinci dəfə əlavə edildikdə rədd edilir</t>
  </si>
  <si>
    <t>Token: user1@test.com / User1234 (POST /auth/login, bütün testlər eyni sandbox token-i ilə); IBAN AZ77AIIB40060019440123456789 artıq siyahıdadır</t>
  </si>
  <si>
    <t>Authorization: Bearer {{token}}
Content-Type: application/json
Body: {"fullName":"Başqa Ad","iban":"AZ77AIIB40060019440123456789","currency":"AZN"}</t>
  </si>
  <si>
    <t>409</t>
  </si>
  <si>
    <t>code = "BENEFICIARY_EXISTS"</t>
  </si>
  <si>
    <t>GRAD-101 AC-7</t>
  </si>
  <si>
    <t>Callman icrası: status 409; gözlənilən body/code ilə üst-üstə düşür (bütün assertion-lar PASS). PASS.</t>
  </si>
  <si>
    <t>TC_API_BEN_025</t>
  </si>
  <si>
    <t>Eyni IBAN fərqli formatda (boşluqlu, kiçik hərf) göndərildikdə də dublikat tutulur</t>
  </si>
  <si>
    <t>Authorization: Bearer {{token}}
Content-Type: application/json
Body: {"fullName":"Başqa Ad","iban":"az77 aiib 4006 0019 4401 2345 6789","currency":"AZN"}</t>
  </si>
  <si>
    <t>code = "BENEFICIARY_EXISTS" (normallaşdırma dublikat yoxlamasından əvvəl işləyir)</t>
  </si>
  <si>
    <t>GRAD-101 AC-2 + AC-7</t>
  </si>
  <si>
    <t>TC_API_BEN_026</t>
  </si>
  <si>
    <t>Ləqəb böyük-kiçik hərf fərqi ilə təkrarlandıqda rədd edilir</t>
  </si>
  <si>
    <t>Token: user1@test.com / User1234 (POST /auth/login, bütün testlər eyni sandbox token-i ilə); "anam" ləqəbli alıcı var</t>
  </si>
  <si>
    <t>Authorization: Bearer {{token}}
Content-Type: application/json
Body: {"fullName":"Başqa Ad","iban":"AZ12NABZ00000000000000000016","currency":"AZN","nickname":"ANAM"}</t>
  </si>
  <si>
    <t>code = "NICKNAME_TAKEN"</t>
  </si>
  <si>
    <t>GRAD-101 AC-8</t>
  </si>
  <si>
    <t>TC_API_BEN_027</t>
  </si>
  <si>
    <t>İstifadəçi öz hesabının IBAN-ını əlavə edə bilmir</t>
  </si>
  <si>
    <t>Authorization: Bearer {{token}}
Content-Type: application/json
Body: {"fullName":"Özüm Test","iban":"AZ29NABZ00000000137010002855","currency":"AZN"}</t>
  </si>
  <si>
    <t>422</t>
  </si>
  <si>
    <t>code = "OWN_ACCOUNT"</t>
  </si>
  <si>
    <t>GRAD-101 AC-9</t>
  </si>
  <si>
    <t>Callman icrası: status 422; gözlənilən body/code ilə üst-üstə düşür (bütün assertion-lar PASS). PASS.</t>
  </si>
  <si>
    <t>TC_API_BEN_028</t>
  </si>
  <si>
    <t>Validasiya xətası OWN_ACCOUNT-dan əvvəl yoxlanılır (yoxlama ardıcıllığı)</t>
  </si>
  <si>
    <t>Authorization: Bearer {{token}}
Content-Type: application/json
Body: {"fullName":"Özüm Test","iban":"AZ29NABZ00000000137010002855","currency":"GBP"}</t>
  </si>
  <si>
    <t>code = "VALIDATION_ERROR" (422 OWN_ACCOUNT YOX)
field = "currency"</t>
  </si>
  <si>
    <t>GRAD-101 Qeyd: yoxlama ardıcıllığı</t>
  </si>
  <si>
    <t>TC_API_BEN_029</t>
  </si>
  <si>
    <t>10-cu alıcı (limit) əlavə olunur</t>
  </si>
  <si>
    <t>Token: user1@test.com / User1234 (POST /auth/login, bütün testlər eyni sandbox token-i ilə); siyahıda 9 alıcı var</t>
  </si>
  <si>
    <t>Authorization: Bearer {{token}}
Content-Type: application/json
Body: {"fullName":"Onuncu Alıcı","iban":"AZ12NABZ00000000000000000020","currency":"AZN"}</t>
  </si>
  <si>
    <t>Alıcı yaradılır; GET /beneficiaries → total = 10</t>
  </si>
  <si>
    <t>GRAD-101 AC-10</t>
  </si>
  <si>
    <t>TC_API_BEN_030</t>
  </si>
  <si>
    <t>11-ci alıcı limitə görə rədd edilir</t>
  </si>
  <si>
    <t>Token: user1@test.com / User1234 (POST /auth/login, bütün testlər eyni sandbox token-i ilə); siyahıda 10 alıcı var</t>
  </si>
  <si>
    <t>Authorization: Bearer {{token}}
Content-Type: application/json
Body: {"fullName":"On Birinci","iban":"AZ12NABZ00000000000000000021","currency":"AZN"}</t>
  </si>
  <si>
    <t>code = "LIMIT_REACHED"
limit = 10</t>
  </si>
  <si>
    <t>422, code = "LIMIT_REACHED", limit = 10 (kök səviyyədə — GQ_API_02 təsdiqləndi). PASS.</t>
  </si>
  <si>
    <t>TC_API_BENL_001</t>
  </si>
  <si>
    <t>Parametrsiz siyahı: total = items sayı, ən yeni birinci</t>
  </si>
  <si>
    <t>Token: user1@test.com / User1234 (POST /auth/login, bütün testlər eyni sandbox token-i ilə); siyahıda alıcılar: "Nigar Əliyeva" (AZN, nickname "Anam"), "Cavid Həsənov" (USD), "Çingiz Abbasov" (AZN), "Əli Rzayev" (USD), "Elvin Quliyev" (EUR) — bu ardıcıllıqla yaradılıb</t>
  </si>
  <si>
    <t>Authorization: Bearer {{token}}
Query: (yoxdur)</t>
  </si>
  <si>
    <t>total = items.size() = 5
items[0].fullName = "Elvin Quliyev" (sonuncu yaradılan)
createdAt azalan sırada</t>
  </si>
  <si>
    <t>GRAD-102 AC-1</t>
  </si>
  <si>
    <t>Yes — BeneficiaryTest.ListBeneficiaries</t>
  </si>
  <si>
    <t>TC_API_BENL_002</t>
  </si>
  <si>
    <t>Siyahı cavabı JSON Schema-ya uyğundur</t>
  </si>
  <si>
    <t>beneficiary-list-schema.json: total (integer), items (array of beneficiary)</t>
  </si>
  <si>
    <t>Contract yoxlaması → avtomat</t>
  </si>
  <si>
    <t>TC_API_BENL_003</t>
  </si>
  <si>
    <t>sort=fullName&amp;order=asc — Azərbaycan əlifbası ilə sıralanır</t>
  </si>
  <si>
    <t>Authorization: Bearer {{token}}
Query: sort=fullName&amp;order=asc</t>
  </si>
  <si>
    <t>Ardıcıllıq: Cavid → Çingiz → Elvin → Əli → Nigar (C &lt; Ç, E &lt; Ə)</t>
  </si>
  <si>
    <t>Azərbaycan əlifbası (Ç, Ə) üzrə sıralama standart string müqayisəsi ilə yoxlanılmır → əvvəlcə manual, sonra gözlənilən siyahı ilə avtomat</t>
  </si>
  <si>
    <t>GRAD-102 AC-2</t>
  </si>
  <si>
    <t>Sıra: Cavid → Çingiz → Elvin → Əli → Nigar — Azərbaycan əlifbası (C&lt;Ç, E&lt;Ə) düzgün tətbiq olunur. PASS.</t>
  </si>
  <si>
    <t>TC_API_BENL_004</t>
  </si>
  <si>
    <t>sort=fullName&amp;order=desc — tərs əlifba sırası</t>
  </si>
  <si>
    <t>Authorization: Bearer {{token}}
Query: sort=fullName&amp;order=desc</t>
  </si>
  <si>
    <t>Ardıcıllıq: Nigar → Əli → Elvin → Çingiz → Cavid</t>
  </si>
  <si>
    <t>TC_API_BENL_005</t>
  </si>
  <si>
    <t>sort=createdAt&amp;order=asc — ən köhnə birinci</t>
  </si>
  <si>
    <t>Authorization: Bearer {{token}}
Query: sort=createdAt&amp;order=asc</t>
  </si>
  <si>
    <t>items[0].fullName = "Nigar Əliyeva"; createdAt artan sırada</t>
  </si>
  <si>
    <t>GRAD-102 Parametrlər</t>
  </si>
  <si>
    <t>TC_API_BENL_006</t>
  </si>
  <si>
    <t>currency=USD — yalnız USD alıcılar qaytarılır</t>
  </si>
  <si>
    <t>Authorization: Bearer {{token}}
Query: currency=USD</t>
  </si>
  <si>
    <t>total = 2
items.currency hamısı "USD"</t>
  </si>
  <si>
    <t>GRAD-102 AC-3</t>
  </si>
  <si>
    <t>TC_API_BENL_007</t>
  </si>
  <si>
    <t>currency=EUR — tək nəticə, total uyğundur</t>
  </si>
  <si>
    <t>Authorization: Bearer {{token}}
Query: currency=EUR</t>
  </si>
  <si>
    <t>total = 1, items[0].fullName = "Elvin Quliyev"</t>
  </si>
  <si>
    <t>TC_API_BENL_008</t>
  </si>
  <si>
    <t>q=NİGAR (nöqtəli İ) ilə axtarış tapır</t>
  </si>
  <si>
    <t>Authorization: Bearer {{token}}
Query: q=NİGAR</t>
  </si>
  <si>
    <t>total = 1, items[0].fullName = "Nigar Əliyeva"</t>
  </si>
  <si>
    <t>GRAD-102 AC-4</t>
  </si>
  <si>
    <t>TC_API_BENL_009</t>
  </si>
  <si>
    <t>q=NIGAR (nöqtəsiz I) ilə axtarış tapır</t>
  </si>
  <si>
    <t>Authorization: Bearer {{token}}
Query: q=NIGAR</t>
  </si>
  <si>
    <t>total = 1, items[0].fullName = "Nigar Əliyeva" (I/İ/ı fərqi nəzərə alınmır)</t>
  </si>
  <si>
    <t>q=NIGAR (nöqtəsiz I) ilə "Nigar Əliyeva" tapıldı, total 1. PASS.</t>
  </si>
  <si>
    <t>TC_API_BENL_010</t>
  </si>
  <si>
    <t>q=nig (kiçik hərf, hissə) ilə axtarış tapır</t>
  </si>
  <si>
    <t>Authorization: Bearer {{token}}
Query: q=nig</t>
  </si>
  <si>
    <t>items[0].fullName = "Nigar Əliyeva"</t>
  </si>
  <si>
    <t>TC_API_BENL_011</t>
  </si>
  <si>
    <t>q ləqəbin bir hissəsi ilə ("ana") ləqəbə görə tapır</t>
  </si>
  <si>
    <t>Authorization: Bearer {{token}}
Query: q=ana</t>
  </si>
  <si>
    <t>items-də nickname = "Anam" olan alıcı var</t>
  </si>
  <si>
    <t>GRAD-102 AC-5</t>
  </si>
  <si>
    <t>TC_API_BENL_012</t>
  </si>
  <si>
    <t>q=2 simvol (min) qəbul edilir</t>
  </si>
  <si>
    <t>Authorization: Bearer {{token}}
Query: q=Ni</t>
  </si>
  <si>
    <t>Status 200; nəticədə "Nigar Əliyeva" var</t>
  </si>
  <si>
    <t>GRAD-102 AC-6 (min 2)</t>
  </si>
  <si>
    <t>TC_API_BENL_013</t>
  </si>
  <si>
    <t>q=1 simvol (min−1) rədd edilir</t>
  </si>
  <si>
    <t>Authorization: Bearer {{token}}
Query: q=a</t>
  </si>
  <si>
    <t>code = "VALIDATION_ERROR"
details[0].field = "q"</t>
  </si>
  <si>
    <t>GRAD-102 AC-6</t>
  </si>
  <si>
    <t>TC_API_BENL_014</t>
  </si>
  <si>
    <t>Heç nə tapılmadıqda boş siyahı qaytarılır (xəta yox)</t>
  </si>
  <si>
    <t>Authorization: Bearer {{token}}
Query: q=zzzz</t>
  </si>
  <si>
    <t>total = 0
items = []</t>
  </si>
  <si>
    <t>GRAD-102 AC-7</t>
  </si>
  <si>
    <t>TC_API_BENL_015</t>
  </si>
  <si>
    <t>Parametrlər AND məntiqi ilə birləşir</t>
  </si>
  <si>
    <t>Authorization: Bearer {{token}}
Query: q=li&amp;currency=USD</t>
  </si>
  <si>
    <t>Yalnız adında/ləqəbində "li" olan VƏ USD alıcılar: "Əli Rzayev"; total = 1</t>
  </si>
  <si>
    <t>GRAD-102 Qeyd: AND</t>
  </si>
  <si>
    <t>TC_API_BENL_016</t>
  </si>
  <si>
    <t>Etibarsız currency dəyəri rədd edilir</t>
  </si>
  <si>
    <t>Authorization: Bearer {{token}}
Query: currency=GBP</t>
  </si>
  <si>
    <t>GRAD-102 Xəta</t>
  </si>
  <si>
    <t>TC_API_BENL_017</t>
  </si>
  <si>
    <t>Etibarsız sort dəyəri rədd edilir</t>
  </si>
  <si>
    <t>Authorization: Bearer {{token}}
Query: sort=iban</t>
  </si>
  <si>
    <t>code = "VALIDATION_ERROR", field = "sort"</t>
  </si>
  <si>
    <t>TC_API_BENL_018</t>
  </si>
  <si>
    <t>Etibarsız order dəyəri rədd edilir</t>
  </si>
  <si>
    <t>Authorization: Bearer {{token}}
Query: order=up</t>
  </si>
  <si>
    <t>code = "VALIDATION_ERROR", field = "order"</t>
  </si>
  <si>
    <t>TC_API_BENL_019</t>
  </si>
  <si>
    <t>Alıcı olmayan sandbox-da boş siyahı qaytarılır</t>
  </si>
  <si>
    <t>Yeni login (boş sandbox)</t>
  </si>
  <si>
    <t>total = 0, items = []</t>
  </si>
  <si>
    <t>TC_API_BEND_001</t>
  </si>
  <si>
    <t>Mövcud alıcı silinir — 204, body boş</t>
  </si>
  <si>
    <t>/beneficiaries/{id}</t>
  </si>
  <si>
    <t>DELETE</t>
  </si>
  <si>
    <t>Token: user1@test.com / User1234 (POST /auth/login, bütün testlər eyni sandbox token-i ilə); alıcı yaradılıb, id = {{benId}}</t>
  </si>
  <si>
    <t>Authorization: Bearer {{token}}
Path: /beneficiaries/{{benId}}</t>
  </si>
  <si>
    <t>204</t>
  </si>
  <si>
    <t>Body boşdur (content-length 0)</t>
  </si>
  <si>
    <t>GRAD-103 AC-1</t>
  </si>
  <si>
    <t>Callman icrası: status 204; gözlənilən body/code ilə üst-üstə düşür (bütün assertion-lar PASS). PASS.</t>
  </si>
  <si>
    <t>Yes — BeneficiaryTest.Delete</t>
  </si>
  <si>
    <t>TC_API_BEND_002</t>
  </si>
  <si>
    <t>Silinmiş alıcı siyahıda görünmür, total 1 azalır (yarat → sil → oxu)</t>
  </si>
  <si>
    <t>Token: user1@test.com / User1234 (POST /auth/login, bütün testlər eyni sandbox token-i ilə); siyahıda N alıcı, biri {{benId}}</t>
  </si>
  <si>
    <t>Authorization: Bearer {{token}}
1) DELETE /beneficiaries/{{benId}}
2) GET /beneficiaries</t>
  </si>
  <si>
    <t>204 / 200</t>
  </si>
  <si>
    <t>GET: total = N − 1
items.id içində {{benId}} YOXDUR</t>
  </si>
  <si>
    <t>GRAD-103 AC-2</t>
  </si>
  <si>
    <t>Callman icrası: status 204 / 200; gözlənilən body/code ilə üst-üstə düşür (bütün assertion-lar PASS). PASS.</t>
  </si>
  <si>
    <t>TC_API_BEND_003</t>
  </si>
  <si>
    <t>Eyni alıcı ikinci dəfə silindikdə 404</t>
  </si>
  <si>
    <t>Token: user1@test.com / User1234 (POST /auth/login, bütün testlər eyni sandbox token-i ilə); {{benId}} artıq silinib</t>
  </si>
  <si>
    <t>404</t>
  </si>
  <si>
    <t>code = "NOT_FOUND"</t>
  </si>
  <si>
    <t>GRAD-103 AC-3</t>
  </si>
  <si>
    <t>Callman icrası: status 404; gözlənilən body/code ilə üst-üstə düşür (bütün assertion-lar PASS). PASS.</t>
  </si>
  <si>
    <t>TC_API_BEND_004</t>
  </si>
  <si>
    <t>Başqa istifadəçinin alıcısı silinə bilmir — 404 (403 yox)</t>
  </si>
  <si>
    <t>Token: user1@test.com / User1234 (POST /auth/login, bütün testlər eyni sandbox token-i ilə) ilə {{benId}} yaradılıb; sorğu Token: user2@test.com / User1234 (ayrıca sandbox) ilə</t>
  </si>
  <si>
    <t>Authorization: Bearer {{user2Token}}
Path: /beneficiaries/{{benId}}</t>
  </si>
  <si>
    <t>code = "NOT_FOUND" (mövcudluq gizlədilir)
user1 GET /beneficiaries → alıcı hələ də var</t>
  </si>
  <si>
    <t>Təhlükəsizlik (IDOR) yoxlaması → avtomat, regresiyada mütləq</t>
  </si>
  <si>
    <t>GRAD-103 AC-4 / Ümumi qayda</t>
  </si>
  <si>
    <t>TC_API_BEND_005</t>
  </si>
  <si>
    <t>Mövcud olmayan id ilə silmə 404 qaytarır</t>
  </si>
  <si>
    <t>Authorization: Bearer {{token}}
Path: /beneficiaries/ben_00000000</t>
  </si>
  <si>
    <t>GRAD-103 Xəta</t>
  </si>
  <si>
    <t>TC_API_BEND_006</t>
  </si>
  <si>
    <t>Silinmiş alıcının IBAN-ı yenidən əlavə edilə bilir</t>
  </si>
  <si>
    <t>Token: user1@test.com / User1234 (POST /auth/login, bütün testlər eyni sandbox token-i ilə); IBAN X olan alıcı silinib</t>
  </si>
  <si>
    <t>Authorization: Bearer {{token}}
Content-Type: application/json
1) DELETE /beneficiaries/{{benId}}
2) POST /beneficiaries Body: həmin IBAN X ilə</t>
  </si>
  <si>
    <t>204 / 201</t>
  </si>
  <si>
    <t>2-ci sorğu: yeni id qaytarılır (BENEFICIARY_EXISTS yox)</t>
  </si>
  <si>
    <t>GRAD-101 AC-7 + GRAD-103</t>
  </si>
  <si>
    <t>Callman icrası: status 204 / 201; gözlənilən body/code ilə üst-üstə düşür (bütün assertion-lar PASS). PASS.</t>
  </si>
  <si>
    <t>TC_API_BEND_007</t>
  </si>
  <si>
    <t>Limit doluykən silmə yer açır — yeni alıcı əlavə olunur</t>
  </si>
  <si>
    <t>Token: user1@test.com / User1234 (POST /auth/login, bütün testlər eyni sandbox token-i ilə); 10 alıcı var</t>
  </si>
  <si>
    <t>Authorization: Bearer {{token}}
1) DELETE bir alıcı
2) POST /beneficiaries yeni alıcı</t>
  </si>
  <si>
    <t>İkinci sorğu 201 (LIMIT_REACHED yox)</t>
  </si>
  <si>
    <t>BVA / State transition</t>
  </si>
  <si>
    <t>GRAD-101 AC-10 + GRAD-103</t>
  </si>
  <si>
    <t>TC_API_CARD_001</t>
  </si>
  <si>
    <t>Etibarlı sorğu ilə virtual kart buraxılır</t>
  </si>
  <si>
    <t>Token: user1@test.com / User1234 (POST /auth/login, bütün testlər eyni sandbox token-i ilə); ACTIVE/FROZEN kart sayı &lt; 3</t>
  </si>
  <si>
    <t>Authorization: Bearer {{token}}
Content-Type: application/json
Body: {"accountId":"acc_002","initialAmount":100,"label":"Kommunal"}</t>
  </si>
  <si>
    <t>id: "vcd_" + 8 simvol
status = "ACTIVE", availableBalance = 100, currency = "AZN"
limits.dailyOnline = 500, limits.perTransaction = 300
spentToday = 0, blockReason = null, blockedAt = null
Header Location = /cards/{id}</t>
  </si>
  <si>
    <t>GRAD-201 AC-1</t>
  </si>
  <si>
    <t>TC_API_CARD_002</t>
  </si>
  <si>
    <t>maskedPan və expiry formatı düzgündür</t>
  </si>
  <si>
    <t>Authorization: Bearer {{token}}
Content-Type: application/json
Body: {"accountId":"acc_002","initialAmount":50}</t>
  </si>
  <si>
    <t>maskedPan regex: ^4169 73\*\* \*\*\*\* \d{4}$
expiry = (bu ay)/(bu il + 3), MM/YY formatında</t>
  </si>
  <si>
    <t>Format regex ilə avtomat; expiry tarixi hesablama tələb edir — regex avtomat, tarix dəyəri manual yoxlanılır</t>
  </si>
  <si>
    <t>GRAD-201 AC-2</t>
  </si>
  <si>
    <t>maskedPan "4169 73** **** NNNN" formatındadır; expiry = bu ay / bu il + 3. PASS.</t>
  </si>
  <si>
    <t>TC_API_CARD_003</t>
  </si>
  <si>
    <t>Kart cavabı JSON Schema-ya uyğundur</t>
  </si>
  <si>
    <t>Authorization: Bearer {{token}}
Content-Type: application/json
Body: {"accountId":"acc_002","initialAmount":20}</t>
  </si>
  <si>
    <t>card-schema.json: id, accountId, maskedPan, expiry, currency, status (string); availableBalance, spentToday (number); limits (object); label, blockReason, blockedAt (string|null)</t>
  </si>
  <si>
    <t>Contract → avtomat</t>
  </si>
  <si>
    <t>TC_API_CARD_004</t>
  </si>
  <si>
    <t>label göndərilmədikdə null qaytarılır</t>
  </si>
  <si>
    <t>label = null</t>
  </si>
  <si>
    <t>GRAD-201 Parametrlər</t>
  </si>
  <si>
    <t>TC_API_CARD_005</t>
  </si>
  <si>
    <t>initialAmount 0.99 (min−0.01) rədd edilir</t>
  </si>
  <si>
    <t>Authorization: Bearer {{token}}
Content-Type: application/json
Body: {"accountId":"acc_002","initialAmount":0.99}</t>
  </si>
  <si>
    <t>code = "VALIDATION_ERROR", field = "initialAmount"</t>
  </si>
  <si>
    <t>GRAD-201 AC-3</t>
  </si>
  <si>
    <t>TC_API_CARD_006</t>
  </si>
  <si>
    <t>initialAmount 1.00 (min) qəbul edilir</t>
  </si>
  <si>
    <t>Authorization: Bearer {{token}}
Content-Type: application/json
Body: {"accountId":"acc_002","initialAmount":1.00}</t>
  </si>
  <si>
    <t>availableBalance = 1</t>
  </si>
  <si>
    <t>TC_API_CARD_007</t>
  </si>
  <si>
    <t>initialAmount 1000.00 (max) qəbul edilir</t>
  </si>
  <si>
    <t>Authorization: Bearer {{token}}
Content-Type: application/json
Body: {"accountId":"acc_002","initialAmount":1000.00}</t>
  </si>
  <si>
    <t>availableBalance = 1000</t>
  </si>
  <si>
    <t>TC_API_CARD_008</t>
  </si>
  <si>
    <t>initialAmount 1000.01 (max+0.01) rədd edilir</t>
  </si>
  <si>
    <t>Authorization: Bearer {{token}}
Content-Type: application/json
Body: {"accountId":"acc_002","initialAmount":1000.01}</t>
  </si>
  <si>
    <t>TC_API_CARD_009</t>
  </si>
  <si>
    <t>initialAmount mətn kimi ("50") rədd edilir</t>
  </si>
  <si>
    <t>Authorization: Bearer {{token}}
Content-Type: application/json
Body: {"accountId":"acc_002","initialAmount":"50"}</t>
  </si>
  <si>
    <t>GRAD-201 AC-4</t>
  </si>
  <si>
    <t>TC_API_CARD_010</t>
  </si>
  <si>
    <t>initialAmount 3 onluqlu (10.555) rədd edilir</t>
  </si>
  <si>
    <t>Authorization: Bearer {{token}}
Content-Type: application/json
Body: {"accountId":"acc_002","initialAmount":10.555}</t>
  </si>
  <si>
    <t>TC_API_CARD_011</t>
  </si>
  <si>
    <t>initialAmount 0 və mənfi (−10) rədd edilir</t>
  </si>
  <si>
    <t>Authorization: Bearer {{token}}
Content-Type: application/json
Body: A) initialAmount: 0
B) initialAmount: -10</t>
  </si>
  <si>
    <t>Hər iki halda code = "VALIDATION_ERROR"</t>
  </si>
  <si>
    <t>EP / BVA</t>
  </si>
  <si>
    <t>GRAD-201 Parametrlər (1.00–1000.00)</t>
  </si>
  <si>
    <t>TC_API_CARD_012</t>
  </si>
  <si>
    <t>label 30 simvol qəbul, 31 simvol rədd edilir</t>
  </si>
  <si>
    <t>Authorization: Bearer {{token}}
Content-Type: application/json
Body: A) label = 30 simvol
B) label = 31 simvol</t>
  </si>
  <si>
    <t>B) code = "VALIDATION_ERROR", field = "label"</t>
  </si>
  <si>
    <t>GRAD-201 Parametrlər (1–30)</t>
  </si>
  <si>
    <t>TC_API_CARD_013</t>
  </si>
  <si>
    <t>Məcburi accountId olmadan rədd edilir</t>
  </si>
  <si>
    <t>Authorization: Bearer {{token}}
Content-Type: application/json
Body: {"initialAmount":100}</t>
  </si>
  <si>
    <t>code = "VALIDATION_ERROR", field = "accountId"</t>
  </si>
  <si>
    <t>TC_API_CARD_014</t>
  </si>
  <si>
    <t>Başqa istifadəçinin hesabı (acc_003) ilə kart açıla bilmir</t>
  </si>
  <si>
    <t>Authorization: Bearer {{token}}
Content-Type: application/json
Body: {"accountId":"acc_003","initialAmount":100}</t>
  </si>
  <si>
    <t>403</t>
  </si>
  <si>
    <t>code = "FORBIDDEN"
(Qeyd: ümumi qayda 404 deyir — GQ_API_01)</t>
  </si>
  <si>
    <t>Təhlükəsizlik → avtomat</t>
  </si>
  <si>
    <t>GRAD-201 AC-5</t>
  </si>
  <si>
    <t>403, code = "FORBIDDEN" — task AC-5-ə uyğundur. Müşahidə: ümumi qayda "başqasının resursu → 404" deyir; davranış ziddiyyətlidir (GQ_API_01, BUG_API_001). PASS (AC-ə görə).</t>
  </si>
  <si>
    <t>TC_API_CARD_015</t>
  </si>
  <si>
    <t>Mövcud olmayan hesab ilə kart açıla bilmir</t>
  </si>
  <si>
    <t>Authorization: Bearer {{token}}
Content-Type: application/json
Body: {"accountId":"acc_999","initialAmount":100}</t>
  </si>
  <si>
    <t>code = "ACCOUNT_NOT_FOUND"</t>
  </si>
  <si>
    <t>GRAD-201 Xəta</t>
  </si>
  <si>
    <t>TC_API_CARD_016</t>
  </si>
  <si>
    <t>Balansdan çox məbləğ (user2: 891 &gt; 890.50) rədd edilir</t>
  </si>
  <si>
    <t>Token: user2 (balans 890.50 USD)</t>
  </si>
  <si>
    <t>Authorization: Bearer {{user2Token}}
Content-Type: application/json
Body: {"accountId":"acc_003","initialAmount":891}</t>
  </si>
  <si>
    <t>code = "INSUFFICIENT_FUNDS"</t>
  </si>
  <si>
    <t>GRAD-201 AC-6</t>
  </si>
  <si>
    <t>TC_API_CARD_017</t>
  </si>
  <si>
    <t>Balansa bərabər məbləğ (user2: 890.50) qəbul edilir, kart USD olur</t>
  </si>
  <si>
    <t>Authorization: Bearer {{user2Token}}
Content-Type: application/json
Body: {"accountId":"acc_003","initialAmount":890.50}</t>
  </si>
  <si>
    <t>availableBalance = 890.5
currency = "USD"</t>
  </si>
  <si>
    <t>GRAD-201 AC-6 / Description</t>
  </si>
  <si>
    <t>TC_API_CARD_018</t>
  </si>
  <si>
    <t>4-cü ACTIVE kart limitə görə rədd edilir</t>
  </si>
  <si>
    <t>Token: user1@test.com / User1234 (POST /auth/login, bütün testlər eyni sandbox token-i ilə); 3 ACTIVE kart var</t>
  </si>
  <si>
    <t>code = "CARD_LIMIT_REACHED"</t>
  </si>
  <si>
    <t>GRAD-201 AC-7</t>
  </si>
  <si>
    <t>TC_API_CARD_019</t>
  </si>
  <si>
    <t>FROZEN kart da limitə sayılır</t>
  </si>
  <si>
    <t>Token: user1@test.com / User1234 (POST /auth/login, bütün testlər eyni sandbox token-i ilə); 2 ACTIVE + 1 FROZEN kart</t>
  </si>
  <si>
    <t>TC_API_CARD_020</t>
  </si>
  <si>
    <t>BLOCKED kart limitə sayılmır — yeni kart açılır</t>
  </si>
  <si>
    <t>Token: user1@test.com / User1234 (POST /auth/login, bütün testlər eyni sandbox token-i ilə); 2 ACTIVE + 1 BLOCKED kart</t>
  </si>
  <si>
    <t>status = "ACTIVE"</t>
  </si>
  <si>
    <t>GRAD-201 AC-8</t>
  </si>
  <si>
    <t>TC_API_CARD_021</t>
  </si>
  <si>
    <t>Kart buraxılması əsas hesabın balansını dəyişmir</t>
  </si>
  <si>
    <t>Token: user1@test.com / User1234 (POST /auth/login, bütün testlər eyni sandbox token-i ilə); GET /me/accounts → acc_002 balans = B</t>
  </si>
  <si>
    <t>Authorization: Bearer {{token}}
Content-Type: application/json
Body: 1) POST /cards {"accountId":"acc_002","initialAmount":100}
2) GET /me/accounts</t>
  </si>
  <si>
    <t>201 / 200</t>
  </si>
  <si>
    <t>acc_002 balansı = B (dəyişməyib)</t>
  </si>
  <si>
    <t>GRAD-201 Qeyd</t>
  </si>
  <si>
    <t>GET /me/accounts: kart buraxıldıqdan sonra acc_002 balansı 12500 olaraq qaldı (dəyişmədi). (İlk run-da Callman environment dəyərini mətnə çevirdiyi üçün müqayisə düşmüşdü — Number() ilə düzəldildi.) PASS.</t>
  </si>
  <si>
    <t>TC_API_CARDG_001</t>
  </si>
  <si>
    <t>Yeni kartın GET cavabı POST cavabı ilə eynidir</t>
  </si>
  <si>
    <t>/cards/{id}</t>
  </si>
  <si>
    <t>Token: user1@test.com / User1234 (POST /auth/login, bütün testlər eyni sandbox token-i ilə); POST /cards cavabı yadda saxlanılıb ({{cardId}})</t>
  </si>
  <si>
    <t>Authorization: Bearer {{token}}
Path: /cards/{{cardId}}</t>
  </si>
  <si>
    <t>id, maskedPan, expiry, status, availableBalance, limits, spentToday — POST cavabı ilə eyni</t>
  </si>
  <si>
    <t>GRAD-202 AC-1</t>
  </si>
  <si>
    <t>Yes — CardTest.Get</t>
  </si>
  <si>
    <t>TC_API_CARDG_002</t>
  </si>
  <si>
    <t>Ödənişdən sonra availableBalance azalır, spentToday artır</t>
  </si>
  <si>
    <t>Token: user1@test.com / User1234 (POST /auth/login, bütün testlər eyni sandbox token-i ilə); ACTIVE AZN kart, balans 100; Azercell-ə 50.50 ödəniş (komissiyasız)</t>
  </si>
  <si>
    <t>availableBalance = 49.5
spentToday = 50.5</t>
  </si>
  <si>
    <t>GRAD-202 AC-2</t>
  </si>
  <si>
    <t>Azercell-ə 50.50 ödənişdən sonra availableBalance 49.5, spentToday 50.5. PASS.</t>
  </si>
  <si>
    <t>TC_API_CARDG_003</t>
  </si>
  <si>
    <t>Başqa istifadəçinin kartı görünmür — 404</t>
  </si>
  <si>
    <t>Token: user1@test.com / User1234 (POST /auth/login, bütün testlər eyni sandbox token-i ilə) ilə {{cardId}} yaradılıb; sorğu user2 ilə</t>
  </si>
  <si>
    <t>Authorization: Bearer {{user2Token}}
Path: /cards/{{cardId}}</t>
  </si>
  <si>
    <t>Təhlükəsizlik (IDOR) → avtomat</t>
  </si>
  <si>
    <t>GRAD-202 AC-3</t>
  </si>
  <si>
    <t>TC_API_CARDG_004</t>
  </si>
  <si>
    <t>Mövcud olmayan kart id-si 404 qaytarır</t>
  </si>
  <si>
    <t>Authorization: Bearer {{token}}
Path: /cards/vcd_00000000</t>
  </si>
  <si>
    <t>GRAD-202 Xəta</t>
  </si>
  <si>
    <t>TC_API_BLK_001</t>
  </si>
  <si>
    <t>ACTIVE + TEMPORARY → FROZEN</t>
  </si>
  <si>
    <t>/cards/{id}/block</t>
  </si>
  <si>
    <t>Token: user1@test.com / User1234 (POST /auth/login, bütün testlər eyni sandbox token-i ilə); ACTIVE kart</t>
  </si>
  <si>
    <t>Authorization: Bearer {{token}}
Content-Type: application/json
Path: /cards/{{cardId}}/block
Body: {"reason":"TEMPORARY"}</t>
  </si>
  <si>
    <t>status = "FROZEN", blockReason = "TEMPORARY", blockedAt boş deyil (ISO-8601)</t>
  </si>
  <si>
    <t>State transition cədvəlinin xanası — hər keçid ayrıca avtomat test (regresiyada vəziyyət məntiqi qorunur)</t>
  </si>
  <si>
    <t>GRAD-203 AC-1</t>
  </si>
  <si>
    <t>Yes — CardStateTransitionTest</t>
  </si>
  <si>
    <t>TC_API_BLK_002</t>
  </si>
  <si>
    <t>ACTIVE + LOST → BLOCKED</t>
  </si>
  <si>
    <t>Authorization: Bearer {{token}}
Content-Type: application/json
Path: /cards/{{cardId}}/block
Body: {"reason":"LOST"}</t>
  </si>
  <si>
    <t>status = "BLOCKED", blockReason = "LOST"</t>
  </si>
  <si>
    <t>GRAD-203 AC-2</t>
  </si>
  <si>
    <t>TC_API_BLK_003</t>
  </si>
  <si>
    <t>ACTIVE + STOLEN → BLOCKED</t>
  </si>
  <si>
    <t>Authorization: Bearer {{token}}
Content-Type: application/json
Path: /cards/{{cardId}}/block
Body: {"reason":"STOLEN"}</t>
  </si>
  <si>
    <t>status = "BLOCKED", blockReason = "STOLEN"</t>
  </si>
  <si>
    <t>GRAD-203 Keçid cədvəli</t>
  </si>
  <si>
    <t>TC_API_BLK_004</t>
  </si>
  <si>
    <t>FROZEN + TEMPORARY → 409 ALREADY_FROZEN</t>
  </si>
  <si>
    <t>Token: user1@test.com / User1234 (POST /auth/login, bütün testlər eyni sandbox token-i ilə); FROZEN kart</t>
  </si>
  <si>
    <t>code = "ALREADY_FROZEN"; GET /cards → status hələ də FROZEN</t>
  </si>
  <si>
    <t>GRAD-203 AC-4</t>
  </si>
  <si>
    <t>TC_API_BLK_005</t>
  </si>
  <si>
    <t>FROZEN + LOST → BLOCKED (eskalasiya)</t>
  </si>
  <si>
    <t>TC_API_BLK_006</t>
  </si>
  <si>
    <t>FROZEN + STOLEN → BLOCKED (eskalasiya)</t>
  </si>
  <si>
    <t>GRAD-203 AC-3</t>
  </si>
  <si>
    <t>TC_API_BLK_007</t>
  </si>
  <si>
    <t>BLOCKED + TEMPORARY → 409 CARD_BLOCKED</t>
  </si>
  <si>
    <t>Token: user1@test.com / User1234 (POST /auth/login, bütün testlər eyni sandbox token-i ilə); BLOCKED kart</t>
  </si>
  <si>
    <t>code = "CARD_BLOCKED"</t>
  </si>
  <si>
    <t>GRAD-203 AC-5</t>
  </si>
  <si>
    <t>TC_API_BLK_008</t>
  </si>
  <si>
    <t>BLOCKED + LOST → 409 CARD_BLOCKED</t>
  </si>
  <si>
    <t>TC_API_BLK_009</t>
  </si>
  <si>
    <t>BLOCKED + STOLEN → 409 CARD_BLOCKED</t>
  </si>
  <si>
    <t>TC_API_BLK_010</t>
  </si>
  <si>
    <t>Etibarsız reason ("BROKEN") rədd edilir</t>
  </si>
  <si>
    <t>Authorization: Bearer {{token}}
Content-Type: application/json
Path: /cards/{{cardId}}/block
Body: {"reason":"BROKEN"}</t>
  </si>
  <si>
    <t>code = "VALIDATION_ERROR", field = "reason"; kart ACTIVE qalır</t>
  </si>
  <si>
    <t>GRAD-203 AC-6</t>
  </si>
  <si>
    <t>TC_API_BLK_011</t>
  </si>
  <si>
    <t>reason sahəsi olmadan rədd edilir</t>
  </si>
  <si>
    <t>Authorization: Bearer {{token}}
Content-Type: application/json
Path: /cards/{{cardId}}/block
Body: {}</t>
  </si>
  <si>
    <t>code = "VALIDATION_ERROR", field = "reason"</t>
  </si>
  <si>
    <t>TC_API_BLK_012</t>
  </si>
  <si>
    <t>Body göndərilmədikdə INVALID_JSON qaytarılır</t>
  </si>
  <si>
    <t>Authorization: Bearer {{token}}
Content-Type: application/json
Path: /cards/{{cardId}}/block
Body: (body yoxdur)</t>
  </si>
  <si>
    <t>GRAD-203 Xəta</t>
  </si>
  <si>
    <t>TC_API_BLK_013</t>
  </si>
  <si>
    <t>Kiçik hərfli reason ("temporary") rədd edilir</t>
  </si>
  <si>
    <t>Authorization: Bearer {{token}}
Content-Type: application/json
Path: /cards/{{cardId}}/block
Body: {"reason":"temporary"}</t>
  </si>
  <si>
    <t>code = "VALIDATION_ERROR" (dəyərlər böyük hərflə təyin olunub — GQ_API_07)</t>
  </si>
  <si>
    <t>GRAD-203 Parametrlər</t>
  </si>
  <si>
    <t>TC_API_BLK_014</t>
  </si>
  <si>
    <t>Mövcud olmayan kart bloklanmır — 404</t>
  </si>
  <si>
    <t>Authorization: Bearer {{token}}
Content-Type: application/json
Path: /cards/{{cardId}}/block
Body: {"reason":"TEMPORARY"} (Path: /cards/vcd_00000000/block)</t>
  </si>
  <si>
    <t>TC_API_BLK_015</t>
  </si>
  <si>
    <t>Validasiya NOT_FOUND-dan əvvəl yoxlanılır (ardıcıllıq)</t>
  </si>
  <si>
    <t>Authorization: Bearer {{token}}
Content-Type: application/json
Path: /cards/{{cardId}}/block
Body: {"reason":"BROKEN"} (Path: /cards/vcd_00000000/block)</t>
  </si>
  <si>
    <t>code = "VALIDATION_ERROR" (404 YOX)</t>
  </si>
  <si>
    <t>GRAD-203 Qeyd: yoxlama ardıcıllığı</t>
  </si>
  <si>
    <t>TC_API_BLK_016</t>
  </si>
  <si>
    <t>Başqa istifadəçinin kartı bloklana bilmir — 404</t>
  </si>
  <si>
    <t>Token: user1@test.com / User1234 (POST /auth/login, bütün testlər eyni sandbox token-i ilə) ilə kart; sorğu user2 ilə</t>
  </si>
  <si>
    <t>Authorization: Bearer {{token}}
Content-Type: application/json
Path: /cards/{{cardId}}/block
Body: {"reason":"LOST"} (Authorization: Bearer {{user2Token}})</t>
  </si>
  <si>
    <t>code = "NOT_FOUND"; user1 GET → kart ACTIVE qalır</t>
  </si>
  <si>
    <t>Ümumi qayda: başqasının resursu → 404</t>
  </si>
  <si>
    <t>TC_API_BLK_017</t>
  </si>
  <si>
    <t>FROZEN kartla ödəniş rədd edilir</t>
  </si>
  <si>
    <t>Token: user1@test.com / User1234 (POST /auth/login, bütün testlər eyni sandbox token-i ilə); FROZEN kart, balans ≥ 10</t>
  </si>
  <si>
    <t>Authorization: Bearer {{token}}
Content-Type: application/json
Path: /cards/{{cardId}}/block
Body: POST /bill-payments: {"cardId":"{{cardId}}","billerId":"azercell","subscriberNo":"501234567","amount":10} + Idempotency-Key</t>
  </si>
  <si>
    <t>code = "CARD_NOT_ACTIVE"; kart balansı dəyişmir</t>
  </si>
  <si>
    <t>GRAD-203 AC-7</t>
  </si>
  <si>
    <t>TC_API_BLK_018</t>
  </si>
  <si>
    <t>BLOCKED kartla ödəniş rədd edilir</t>
  </si>
  <si>
    <t>Token: user1@test.com / User1234 (POST /auth/login, bütün testlər eyni sandbox token-i ilə); BLOCKED kart, balans ≥ 10</t>
  </si>
  <si>
    <t>code = "CARD_NOT_ACTIVE"</t>
  </si>
  <si>
    <t>TC_API_UNB_001</t>
  </si>
  <si>
    <t>FROZEN kart açılır → ACTIVE</t>
  </si>
  <si>
    <t>/cards/{id}/unblock</t>
  </si>
  <si>
    <t>Authorization: Bearer {{token}}
Path: /cards/{{cardId}}/unblock
(body yoxdur)</t>
  </si>
  <si>
    <t>status = "ACTIVE", blockReason = null, blockedAt = null</t>
  </si>
  <si>
    <t>GRAD-204 AC-1</t>
  </si>
  <si>
    <t>TC_API_UNB_002</t>
  </si>
  <si>
    <t>ACTIVE kart açılmağa çalışılır → 409 NOT_FROZEN</t>
  </si>
  <si>
    <t>code = "NOT_FROZEN"</t>
  </si>
  <si>
    <t>GRAD-204 AC-2</t>
  </si>
  <si>
    <t>TC_API_UNB_003</t>
  </si>
  <si>
    <t>LOST ilə bloklanmış kart açılmır → 409 PERMANENTLY_BLOCKED</t>
  </si>
  <si>
    <t>Token: user1@test.com / User1234 (POST /auth/login, bütün testlər eyni sandbox token-i ilə); BLOCKED (LOST) kart</t>
  </si>
  <si>
    <t>code = "PERMANENTLY_BLOCKED"; status BLOCKED qalır</t>
  </si>
  <si>
    <t>GRAD-204 AC-3</t>
  </si>
  <si>
    <t>TC_API_UNB_004</t>
  </si>
  <si>
    <t>STOLEN ilə bloklanmış kart açılmır → 409 PERMANENTLY_BLOCKED</t>
  </si>
  <si>
    <t>Token: user1@test.com / User1234 (POST /auth/login, bütün testlər eyni sandbox token-i ilə); BLOCKED (STOLEN) kart</t>
  </si>
  <si>
    <t>code = "PERMANENTLY_BLOCKED"</t>
  </si>
  <si>
    <t>TC_API_UNB_005</t>
  </si>
  <si>
    <t>Açılmış kartla ödəniş uğurla keçir</t>
  </si>
  <si>
    <t>Token: user1@test.com / User1234 (POST /auth/login, bütün testlər eyni sandbox token-i ilə); FROZEN → unblock edilmiş kart, balans ≥ 10</t>
  </si>
  <si>
    <t>Authorization: Bearer {{token}}
1) POST /cards/{{cardId}}/unblock
2) POST /bill-payments {"cardId":"{{cardId}}","billerId":"azercell","subscriberNo":"501234567","amount":10} + Idempotency-Key</t>
  </si>
  <si>
    <t>status = "SUCCESS" (ödəniş cavabı)</t>
  </si>
  <si>
    <t>GRAD-204 AC-4</t>
  </si>
  <si>
    <t>TC_API_UNB_006</t>
  </si>
  <si>
    <t>Dondur → aç → yenidən dondur dövrü işləyir</t>
  </si>
  <si>
    <t>Authorization: Bearer {{token}}
Content-Type: application/json
1) POST /block {"reason":"TEMPORARY"}
2) POST /unblock
3) POST /block {"reason":"TEMPORARY"}</t>
  </si>
  <si>
    <t>200 / 200 / 200</t>
  </si>
  <si>
    <t>Son status = "FROZEN" (FROZEN↔ACTIVE keçidi təkrarlana bilir)</t>
  </si>
  <si>
    <t>GRAD-203 + GRAD-204</t>
  </si>
  <si>
    <t>Callman icrası: status 200 / 200 / 200; gözlənilən body/code ilə üst-üstə düşür (bütün assertion-lar PASS). PASS.</t>
  </si>
  <si>
    <t>TC_API_UNB_007</t>
  </si>
  <si>
    <t>Mövcud olmayan kart açılmır — 404</t>
  </si>
  <si>
    <t>Authorization: Bearer {{token}}
Path: /cards/vcd_00000000/unblock</t>
  </si>
  <si>
    <t>GRAD-204 Xəta</t>
  </si>
  <si>
    <t>TC_API_BIL_001</t>
  </si>
  <si>
    <t>Parametrsiz kataloq 6 təchizatçı qaytarır</t>
  </si>
  <si>
    <t>total = 6, items.size() = 6
Hər elementdə subscriberPattern, minAmount, maxAmount, fee var</t>
  </si>
  <si>
    <t>GRAD-301 AC-1</t>
  </si>
  <si>
    <t>Yes — BillerTest</t>
  </si>
  <si>
    <t>TC_API_BIL_002</t>
  </si>
  <si>
    <t>Kataloq datası sənədlə üst-üstə düşür (id, min, max)</t>
  </si>
  <si>
    <t>azerisiq 1–500, azersu 1–300, azercell 0.5–200, bakcell 0.5–200, citynet 5–150, aztelekom 2–100</t>
  </si>
  <si>
    <t>Kataloq digər task-ların test datasının əsasıdır → cədvəl ilə avtomat</t>
  </si>
  <si>
    <t>GRAD-301 Kataloq</t>
  </si>
  <si>
    <t>TC_API_BIL_003</t>
  </si>
  <si>
    <t>Komissiya qaydaları düzgündür (citynet faiz, aztelekom sabit)</t>
  </si>
  <si>
    <t>citynet: fee.type = "PERCENT", value = 1, min = 0.2, max = 2
aztelekom: sabit 0.50
azerisiq, azersu, azercell, bakcell: komissiya yoxdur</t>
  </si>
  <si>
    <t>TC_API_BIL_004</t>
  </si>
  <si>
    <t>category=MOBILE yalnız Azercell və Bakcell qaytarır</t>
  </si>
  <si>
    <t>Authorization: Bearer {{token}}
Query: category=MOBILE</t>
  </si>
  <si>
    <t>total = 2
items.id = ["azercell","bakcell"] (sıra fərq etmir)</t>
  </si>
  <si>
    <t>GRAD-301 AC-2</t>
  </si>
  <si>
    <t>TC_API_BIL_005</t>
  </si>
  <si>
    <t>category=UTILITY yalnız Azərişıq və Azərsu qaytarır</t>
  </si>
  <si>
    <t>Authorization: Bearer {{token}}
Query: category=UTILITY</t>
  </si>
  <si>
    <t>total = 2, items.category hamısı "UTILITY"</t>
  </si>
  <si>
    <t>GRAD-301 Parametrlər</t>
  </si>
  <si>
    <t>TC_API_BIL_006</t>
  </si>
  <si>
    <t>category=INTERNET yalnız CityNet və Aztelekom qaytarır</t>
  </si>
  <si>
    <t>Authorization: Bearer {{token}}
Query: category=INTERNET</t>
  </si>
  <si>
    <t>total = 2, items.category hamısı "INTERNET"</t>
  </si>
  <si>
    <t>TC_API_BIL_007</t>
  </si>
  <si>
    <t>Etibarsız category (GAS) rədd edilir</t>
  </si>
  <si>
    <t>Authorization: Bearer {{token}}
Query: category=GAS</t>
  </si>
  <si>
    <t>code = "VALIDATION_ERROR"</t>
  </si>
  <si>
    <t>GRAD-301 AC-3</t>
  </si>
  <si>
    <t>TC_API_BIL_008</t>
  </si>
  <si>
    <t>Kiçik hərfli category (mobile) rədd edilir</t>
  </si>
  <si>
    <t>Authorization: Bearer {{token}}
Query: category=mobile</t>
  </si>
  <si>
    <t>code = "VALIDATION_ERROR" (GQ_API_07)</t>
  </si>
  <si>
    <t>TC_API_BIL_009</t>
  </si>
  <si>
    <t>Kataloq cavabı JSON Schema-ya uyğundur</t>
  </si>
  <si>
    <t>biller-list-schema.json: total, items[] {id, name, category, subscriberFormat, subscriberPattern (string), minAmount, maxAmount (number), fee (object|null)}</t>
  </si>
  <si>
    <t>TC_API_PAY_001</t>
  </si>
  <si>
    <t>CityNet-ə etibarlı ödəniş — komissiya və balans düzgün</t>
  </si>
  <si>
    <t>/bill-payments</t>
  </si>
  <si>
    <t>Token: user1@test.com / User1234 (POST /auth/login, bütün testlər eyni sandbox token-i ilə); ACTIVE AZN kart {{cardId}}, availableBalance = 1000</t>
  </si>
  <si>
    <t>Authorization: Bearer {{token}}
Content-Type: application/json
Idempotency-Key: {{uuid}}
Body: {"cardId":"{{cardId}}","billerId":"citynet","subscriberNo":"CN123456","amount":50}</t>
  </si>
  <si>
    <t>status = "SUCCESS", amount = 50, fee = 0.5, total = 50.5
currency = "AZN", balanceAfter = 949.5
biller.id = "citynet", biller.category = "INTERNET"
Header Location = /bill-payments/{id}</t>
  </si>
  <si>
    <t>GRAD-302 AC-1</t>
  </si>
  <si>
    <t>201 SUCCESS, fee 0.5, total 50.5, balanceAfter = əvvəlki balans − total, Location header var. PASS.</t>
  </si>
  <si>
    <t>Yes — BillPaymentTest</t>
  </si>
  <si>
    <t>TC_API_PAY_002</t>
  </si>
  <si>
    <t>Ödəniş cavabı JSON Schema-ya uyğundur</t>
  </si>
  <si>
    <t>Authorization: Bearer {{token}}
Content-Type: application/json
Idempotency-Key: {{uuid}}
Body: {"cardId":"{{cardId}}","billerId":"azercell","subscriberNo":"501234567","amount":5}</t>
  </si>
  <si>
    <t>payment-schema.json: id, receiptNo, status, subscriberNo, currency, cardId, createdAt (string); amount, fee, total, balanceAfter (number); biller (object)</t>
  </si>
  <si>
    <t>TC_API_PAY_003</t>
  </si>
  <si>
    <t>Ödənişdən sonra kart balansı və spentToday total qədər dəyişir</t>
  </si>
  <si>
    <t>Token: user1@test.com / User1234 (POST /auth/login, bütün testlər eyni sandbox token-i ilə); ACTIVE AZN kart {{cardId}}, availableBalance = 1000; spentToday = 0</t>
  </si>
  <si>
    <t>Authorization: Bearer {{token}}
Content-Type: application/json
Idempotency-Key: {{uuid}}
Body: {"cardId":"{{cardId}}","billerId":"citynet","subscriberNo":"CN123456","amount":20}
Sonra: GET /cards/{{cardId}}</t>
  </si>
  <si>
    <t>availableBalance = 1000 − 20.2 = 979.8
spentToday = 20.2 (amount yox, TOTAL)</t>
  </si>
  <si>
    <t>GRAD-302 AC-2</t>
  </si>
  <si>
    <t>Callman icrası: status 201 / 200; gözlənilən body/code ilə üst-üstə düşür (bütün assertion-lar PASS). PASS.</t>
  </si>
  <si>
    <t>TC_API_PAY_004</t>
  </si>
  <si>
    <t>receiptNo formatı və ardıcıl artımı</t>
  </si>
  <si>
    <t>Token: user1@test.com / User1234 (POST /auth/login, bütün testlər eyni sandbox token-i ilə); sandbox-da ilk ödəniş</t>
  </si>
  <si>
    <t>Authorization: Bearer {{token}}
Content-Type: application/json
Idempotency-Key: {{uuid}}
Body: {"cardId":"{{cardId}}","billerId":"azercell","subscriberNo":"501234567","amount":1}
Sonra eyni body ilə YENİ Idempotency-Key</t>
  </si>
  <si>
    <t>201 / 201</t>
  </si>
  <si>
    <t>1-ci: receiptNo = "RCP-" + bu günün tarixi (YYYYMMDD) + "-000001"
2-ci: "...-000002"</t>
  </si>
  <si>
    <t>Tarix hissəsi regex ilə, sıra nömrəsi dəqiq dəyər ilə avtomat</t>
  </si>
  <si>
    <t>GRAD-302 AC-3</t>
  </si>
  <si>
    <t>Sandbox-da 1-ci ödəniş receiptNo RCP-&lt;bu gün&gt;-000001, 2-ci …-000002. PASS.</t>
  </si>
  <si>
    <t>TC_API_PAY_005</t>
  </si>
  <si>
    <t>Eyni Idempotency-Key + eyni body təkrarı — pul ikinci dəfə çıxmır</t>
  </si>
  <si>
    <t>Authorization: Bearer {{token}}
Content-Type: application/json
Idempotency-Key: {{uuid}}
Body: {"cardId":"{{cardId}}","billerId":"citynet","subscriberNo":"CN123456","amount":50}
(eyni sorğu 2 dəfə, eyni Idempotency-Key)</t>
  </si>
  <si>
    <t>201 → 200</t>
  </si>
  <si>
    <t>2-ci cavab: status 200 (201 YOX), id 1-ci ilə eyni
Header Idempotent-Replay: true
GET /cards → availableBalance yalnız 1 dəfə azalıb (949.5)</t>
  </si>
  <si>
    <t>Ən kritik biznes qaydası (ikiqat ödəniş) → avtomat, smoke</t>
  </si>
  <si>
    <t>State transition / Error guessing</t>
  </si>
  <si>
    <t>GRAD-302 AC-4</t>
  </si>
  <si>
    <t>Eyni Idempotency-Key + eyni body: 2-ci cavab 200, eyni id, header Idempotent-Replay: true; GET /cards → balans yalnız 1 dəfə azalıb. PASS.</t>
  </si>
  <si>
    <t>TC_API_PAY_006</t>
  </si>
  <si>
    <t>Eyni Idempotency-Key fərqli məbləğlə → 409</t>
  </si>
  <si>
    <t>Token: user1@test.com / User1234 (POST /auth/login, bütün testlər eyni sandbox token-i ilə); ACTIVE AZN kart {{cardId}}, availableBalance = 1000; key K ilə 50 AZN ödənilib</t>
  </si>
  <si>
    <t>Authorization: Bearer {{token}}
Content-Type: application/json
Idempotency-Key: {{uuid}}
Body: {"cardId":"{{cardId}}","billerId":"citynet","subscriberNo":"CN123456","amount":60} (Idempotency-Key: K)</t>
  </si>
  <si>
    <t>code = "IDEMPOTENCY_CONFLICT"; balans dəyişmir</t>
  </si>
  <si>
    <t>GRAD-302 AC-5</t>
  </si>
  <si>
    <t>Eyni açar, fərqli məbləğ → 409 IDEMPOTENCY_CONFLICT. PASS.</t>
  </si>
  <si>
    <t>TC_API_PAY_007</t>
  </si>
  <si>
    <t>Idempotency-Key olmadan ödəniş rədd edilir</t>
  </si>
  <si>
    <t>Authorization: Bearer {{token}}
Content-Type: application/json
Body: {"cardId":"{{cardId}}","billerId":"azercell","subscriberNo":"501234567","amount":5}</t>
  </si>
  <si>
    <t>code = "IDEMPOTENCY_KEY_REQUIRED"</t>
  </si>
  <si>
    <t>GRAD-302 AC-6</t>
  </si>
  <si>
    <t>TC_API_PAY_008</t>
  </si>
  <si>
    <t>Idempotency-Key uzunluğu BVA: 7 / 8 / 64 / 65 simvol</t>
  </si>
  <si>
    <t>Authorization: Bearer {{token}}
Content-Type: application/json
Idempotency-Key: {{uuid}}
Body: {"cardId":"{{cardId}}","billerId":"azercell","subscriberNo":"501234567","amount":1}
Hər sətir üçün yeni key: 7, 8, 64, 65 simvol</t>
  </si>
  <si>
    <t>400 / 201 / 201 / 400</t>
  </si>
  <si>
    <t>7 və 65 simvol: code = "IDEMPOTENCY_KEY_INVALID"
8 və 64 simvol: 201</t>
  </si>
  <si>
    <t>GRAD-302 Xəta: IDEMPOTENCY_KEY_INVALID (8–64)</t>
  </si>
  <si>
    <t>Açar 7 və 65 simvol → 400 IDEMPOTENCY_KEY_INVALID; 8 və 64 simvol → 201. PASS.</t>
  </si>
  <si>
    <t>TC_API_PAY_009</t>
  </si>
  <si>
    <t>Uğursuz sorğunun açarı yenidən istifadə oluna bilər</t>
  </si>
  <si>
    <t>Authorization: Bearer {{token}}
Content-Type: application/json
Idempotency-Key: {{uuid}}
Body: 1) {"cardId":"{{cardId}}","billerId":"azercell","subscriberNo":"123","amount":5} (key K) → 422
2) {"cardId":"{{cardId}}","billerId":"azercell","subscriberNo":"501234567","amount":5} (eyni key K)</t>
  </si>
  <si>
    <t>422 → 201</t>
  </si>
  <si>
    <t>2-ci sorğu 201 (IDEMPOTENCY_CONFLICT yox)</t>
  </si>
  <si>
    <t>GRAD-302 Qeyd: uğursuz sorğu açarı istifadə etmir</t>
  </si>
  <si>
    <t>Callman icrası: status 422 → 201; gözlənilən body/code ilə üst-üstə düşür (bütün assertion-lar PASS). PASS.</t>
  </si>
  <si>
    <t>TC_API_PAY_010</t>
  </si>
  <si>
    <t>Azercell-ə Bakcell nömrəsi ilə ödəniş rədd edilir</t>
  </si>
  <si>
    <t>Authorization: Bearer {{token}}
Content-Type: application/json
Idempotency-Key: {{uuid}}
Body: {"cardId":"{{cardId}}","billerId":"azercell","subscriberNo":"551234567","amount":10}</t>
  </si>
  <si>
    <t>code = "INVALID_SUBSCRIBER"
expected sahəsi mövcuddur (gözlənilən format)</t>
  </si>
  <si>
    <t>GRAD-302 AC-7</t>
  </si>
  <si>
    <t>TC_API_PAY_011</t>
  </si>
  <si>
    <t>Hər təchizatçının etibarlı abunəçi formatı qəbul edilir (data-driven)</t>
  </si>
  <si>
    <t>Authorization: Bearer {{token}}
Content-Type: application/json
Idempotency-Key: {{uuid}}
Body: Cədvəl: azerisiq 1234567890 / azersu 12345678 / azercell 501234567, 511234567, 101234567 / bakcell 551234567, 991234567 / citynet CN123456 / aztelekom 1234567 (məbləğ hər birinin min-i)</t>
  </si>
  <si>
    <t>Hər sətir üçün status = "SUCCESS"</t>
  </si>
  <si>
    <t>8 format bir data-driven test ilə → avtomat</t>
  </si>
  <si>
    <t>GRAD-302 / GRAD-301 Kataloq</t>
  </si>
  <si>
    <t>TC_API_PAY_012</t>
  </si>
  <si>
    <t>Hər təchizatçının səhv abunəçi formatı rədd edilir (data-driven)</t>
  </si>
  <si>
    <t>Authorization: Bearer {{token}}
Content-Type: application/json
Idempotency-Key: {{uuid}}
Body: Cədvəl: azerisiq 123456789 (9 rəqəm) / azersu 123456789 (9) / azercell 701234567 / bakcell 501234567 / citynet CN12345 / citynet cn123456 / aztelekom 123456</t>
  </si>
  <si>
    <t>Hər sətir: code = "INVALID_SUBSCRIBER"</t>
  </si>
  <si>
    <t>GRAD-302 INVALID_SUBSCRIBER</t>
  </si>
  <si>
    <t>TC_API_PAY_013</t>
  </si>
  <si>
    <t>Azercell məbləğ BVA: 0.49 / 0.50 / 200.00 / 200.01</t>
  </si>
  <si>
    <t>Authorization: Bearer {{token}}
Content-Type: application/json
Idempotency-Key: {{uuid}}
Body: Cədvəl (azercell, 501234567): 0.49, 0.50, 200.00, 200.01 (hər biri yeni key)</t>
  </si>
  <si>
    <t>422 / 201 / 201 / 422</t>
  </si>
  <si>
    <t>0.49 və 200.01: code = "AMOUNT_OUT_OF_RANGE"
0.50 və 200.00: status = "SUCCESS"</t>
  </si>
  <si>
    <t>GRAD-302 AC-8</t>
  </si>
  <si>
    <t>Callman icrası: status 422 / 201 / 201 / 422; gözlənilən body/code ilə üst-üstə düşür (bütün assertion-lar PASS). PASS.</t>
  </si>
  <si>
    <t>TC_API_PAY_014</t>
  </si>
  <si>
    <t>CityNet komissiyası: 5 / 20 / 21 / 150 AZN</t>
  </si>
  <si>
    <t>Authorization: Bearer {{token}}
Content-Type: application/json
Idempotency-Key: {{uuid}}
Body: Cədvəl (citynet, CN123456): amount 5, 20, 21, 150</t>
  </si>
  <si>
    <t>fee: 0.20 / 0.20 / 0.21 / 1.50
total = amount + fee</t>
  </si>
  <si>
    <t>Komissiya hesablaması — data-driven BVA avtomat</t>
  </si>
  <si>
    <t>BVA / Decision table</t>
  </si>
  <si>
    <t>GRAD-302 AC-9</t>
  </si>
  <si>
    <t>CityNet 5 / 20 / 21 / 150 → fee 0.2 / 0.2 / 0.21 / 1.5. PASS.</t>
  </si>
  <si>
    <t>TC_API_PAY_015</t>
  </si>
  <si>
    <t>CityNet komissiyası 2 onluğa yuvarlaqlaşdırılır</t>
  </si>
  <si>
    <t>Authorization: Bearer {{token}}
Content-Type: application/json
Idempotency-Key: {{uuid}}
Body: {"cardId":"{{cardId}}","billerId":"citynet","subscriberNo":"CN123456","amount":33.33}</t>
  </si>
  <si>
    <t>fee = 0.33 (1% = 0.3333 → 0.33), total = 33.66</t>
  </si>
  <si>
    <t>GRAD-302 Qeyd: yuvarlaqlaşdırma</t>
  </si>
  <si>
    <t>CityNet 33.33 → fee 0.33, total 33.66 (2 onluğa yuvarlaqlaşdırma). PASS.</t>
  </si>
  <si>
    <t>TC_API_PAY_016</t>
  </si>
  <si>
    <t>Aztelekom komissiyası sabit 0.50-dir</t>
  </si>
  <si>
    <t>Authorization: Bearer {{token}}
Content-Type: application/json
Idempotency-Key: {{uuid}}
Body: Cədvəl (aztelekom, 1234567): amount 2, 100</t>
  </si>
  <si>
    <t>Hər iki halda fee = 0.5; total = 2.5 / 100.5</t>
  </si>
  <si>
    <t>GRAD-302 AC-10</t>
  </si>
  <si>
    <t>TC_API_PAY_017</t>
  </si>
  <si>
    <t>Komissiyasız təchizatçıda fee = 0</t>
  </si>
  <si>
    <t>Authorization: Bearer {{token}}
Content-Type: application/json
Idempotency-Key: {{uuid}}
Body: {"cardId":"{{cardId}}","billerId":"azerisiq","subscriberNo":"1234567890","amount":25}</t>
  </si>
  <si>
    <t>fee = 0, total = 25</t>
  </si>
  <si>
    <t>TC_API_PAY_018</t>
  </si>
  <si>
    <t>total 300.00 keçir, 300.01 PER_TRANSACTION_LIMIT</t>
  </si>
  <si>
    <t>Authorization: Bearer {{token}}
Content-Type: application/json
Idempotency-Key: {{uuid}}
Body: A) {"cardId":"{{cardId}}","billerId":"azerisiq","subscriberNo":"1234567890","amount":300.0}
B) {"cardId":"{{cardId}}","billerId":"azerisiq","subscriberNo":"1234567890","amount":300.01} (yeni kart)</t>
  </si>
  <si>
    <t>201 / 422</t>
  </si>
  <si>
    <t>B) code = "PER_TRANSACTION_LIMIT"</t>
  </si>
  <si>
    <t>GRAD-302 AC-11</t>
  </si>
  <si>
    <t>azerisiq 300.00 → 201; 300.01 → 422 PER_TRANSACTION_LIMIT. PASS.</t>
  </si>
  <si>
    <t>TC_API_PAY_019</t>
  </si>
  <si>
    <t>Gündəlik limit dolduqda 1 AZN də rədd edilir, remaining = 0</t>
  </si>
  <si>
    <t>Token: user1@test.com / User1234 (POST /auth/login, bütün testlər eyni sandbox token-i ilə); ACTIVE kart, balans 1000, bu gün 300 + 200 = 500 AZN ödənilib (azerisiq)</t>
  </si>
  <si>
    <t>Authorization: Bearer {{token}}
Content-Type: application/json
Idempotency-Key: {{uuid}}
Body: {"cardId":"{{cardId}}","billerId":"azersu","subscriberNo":"12345678","amount":1}</t>
  </si>
  <si>
    <t>code = "DAILY_LIMIT_EXCEEDED"
remaining = 0</t>
  </si>
  <si>
    <t>GRAD-302 AC-12</t>
  </si>
  <si>
    <t>Gündə 500 xərcləndikdən sonra 1 AZN → 422 DAILY_LIMIT_EXCEEDED, remaining 0. PASS.</t>
  </si>
  <si>
    <t>TC_API_PAY_020</t>
  </si>
  <si>
    <t>Gündəlik limitin qalığından çox ödəniş rədd edilir, remaining düzgün</t>
  </si>
  <si>
    <t>Token: user1@test.com / User1234 (POST /auth/login, bütün testlər eyni sandbox token-i ilə); ACTIVE kart, bu gün 450 AZN ödənilib</t>
  </si>
  <si>
    <t>Authorization: Bearer {{token}}
Content-Type: application/json
Idempotency-Key: {{uuid}}
Body: {"cardId":"{{cardId}}","billerId":"azersu","subscriberNo":"12345678","amount":60}</t>
  </si>
  <si>
    <t>code = "DAILY_LIMIT_EXCEEDED"
remaining = 50</t>
  </si>
  <si>
    <t>GRAD-302 Xəta: DAILY_LIMIT_EXCEEDED</t>
  </si>
  <si>
    <t>450 xərclənib, 60 → 422 DAILY_LIMIT_EXCEEDED, remaining 50. PASS.</t>
  </si>
  <si>
    <t>TC_API_PAY_021</t>
  </si>
  <si>
    <t>Balans 49.50: 49.51 rədd, 49.50 keçir və balanceAfter = 0</t>
  </si>
  <si>
    <t>Token: user1@test.com / User1234 (POST /auth/login, bütün testlər eyni sandbox token-i ilə); ACTIVE kart, availableBalance = 49.50</t>
  </si>
  <si>
    <t>Authorization: Bearer {{token}}
Content-Type: application/json
Idempotency-Key: {{uuid}}
Body: A) {"cardId":"{{cardId}}","billerId":"azerisiq","subscriberNo":"1234567890","amount":49.51}
B) {"cardId":"{{cardId}}","billerId":"azerisiq","subscriberNo":"1234567890","amount":49.5}</t>
  </si>
  <si>
    <t>422 / 201</t>
  </si>
  <si>
    <t>A) code = "INSUFFICIENT_FUNDS"
B) balanceAfter = 0</t>
  </si>
  <si>
    <t>GRAD-302 AC-13</t>
  </si>
  <si>
    <t>Balans 49.50: 49.51 → 422 INSUFFICIENT_FUNDS; 49.50 → 201, balanceAfter 0. PASS.</t>
  </si>
  <si>
    <t>TC_API_PAY_022</t>
  </si>
  <si>
    <t>Balans yoxlaması amount yox, total (amount + fee) üzrə aparılır</t>
  </si>
  <si>
    <t>Token: user1@test.com / User1234 (POST /auth/login, bütün testlər eyni sandbox token-i ilə); ACTIVE kart, availableBalance = 50</t>
  </si>
  <si>
    <t>Authorization: Bearer {{token}}
Content-Type: application/json
Idempotency-Key: {{uuid}}
Body: {"cardId":"{{cardId}}","billerId":"citynet","subscriberNo":"CN123456","amount":49.6}</t>
  </si>
  <si>
    <t>fee = 0.50 → total = 50.10 &gt; 50
code = "INSUFFICIENT_FUNDS"</t>
  </si>
  <si>
    <t>GRAD-302 Qeyd: limitlər total üzrə</t>
  </si>
  <si>
    <t>Balans 50, CityNet 49.6 (fee 0.50, total 50.10) → 422 INSUFFICIENT_FUNDS — balans total üzrə yoxlanılır. PASS.</t>
  </si>
  <si>
    <t>TC_API_PAY_023</t>
  </si>
  <si>
    <t>USD kartla kommunal ödəniş rədd edilir</t>
  </si>
  <si>
    <t>Token: user2; ACTIVE USD kart (acc_003)</t>
  </si>
  <si>
    <t>Authorization: Bearer {{user2Token}}
Content-Type: application/json
Idempotency-Key: {{uuid}}
Body: {"cardId":"{{cardId}}","billerId":"azercell","subscriberNo":"501234567","amount":5}</t>
  </si>
  <si>
    <t>code = "CURRENCY_NOT_SUPPORTED"</t>
  </si>
  <si>
    <t>GRAD-302 AC-14</t>
  </si>
  <si>
    <t>TC_API_PAY_024</t>
  </si>
  <si>
    <t>Məbləğ mətn kimi ("10") rədd edilir</t>
  </si>
  <si>
    <t>Authorization: Bearer {{token}}
Content-Type: application/json
Idempotency-Key: {{uuid}}
Body: {"cardId":"{{cardId}}","billerId":"azercell","subscriberNo":"501234567","amount":"10"}</t>
  </si>
  <si>
    <t>code = "VALIDATION_ERROR", field = "amount"</t>
  </si>
  <si>
    <t>GRAD-302 AC-15</t>
  </si>
  <si>
    <t>TC_API_PAY_025</t>
  </si>
  <si>
    <t>Məbləğ 0, mənfi və 3 onluqlu dəyərlər rədd edilir</t>
  </si>
  <si>
    <t>Authorization: Bearer {{token}}
Content-Type: application/json
Idempotency-Key: {{uuid}}
Body: Cədvəl (azercell): amount 0, -5, 10.555</t>
  </si>
  <si>
    <t>Hər sətir: code = "VALIDATION_ERROR", field = "amount"</t>
  </si>
  <si>
    <t>GRAD-302 Parametrlər (&gt; 0, max 2 onluq)</t>
  </si>
  <si>
    <t>TC_API_PAY_026</t>
  </si>
  <si>
    <t>Mövcud olmayan təchizatçı rədd edilir</t>
  </si>
  <si>
    <t>Authorization: Bearer {{token}}
Content-Type: application/json
Idempotency-Key: {{uuid}}
Body: {"cardId":"{{cardId}}","billerId":"gasco","subscriberNo":"123","amount":5}</t>
  </si>
  <si>
    <t>code = "BILLER_NOT_FOUND"</t>
  </si>
  <si>
    <t>GRAD-302 Xəta</t>
  </si>
  <si>
    <t>TC_API_PAY_027</t>
  </si>
  <si>
    <t>Mövcud olmayan və ya başqasının kartı ilə ödəniş rədd edilir</t>
  </si>
  <si>
    <t>Authorization: Bearer {{token}}
Content-Type: application/json
Idempotency-Key: {{uuid}}
Body: A) cardId = "vcd_00000000"
B) cardId = user2-nin kartı</t>
  </si>
  <si>
    <t>Hər iki halda code = "CARD_NOT_FOUND"; user2 kartının balansı dəyişmir</t>
  </si>
  <si>
    <t>GRAD-302 Xəta: CARD_NOT_FOUND</t>
  </si>
  <si>
    <t>TC_API_PAY_028</t>
  </si>
  <si>
    <t>Məcburi sahələr olmadıqda hər biri details-də göstərilir</t>
  </si>
  <si>
    <t>Authorization: Bearer {{token}}
Content-Type: application/json
Idempotency-Key: {{uuid}}
Body: {}</t>
  </si>
  <si>
    <t>code = "VALIDATION_ERROR"
details.field: cardId, billerId, subscriberNo, amount</t>
  </si>
  <si>
    <t>GRAD-302 Parametrlər</t>
  </si>
  <si>
    <t>Boş body → 400 VALIDATION_ERROR; details-də cardId, billerId, subscriberNo, amount hər biri ayrıca. (İlk run-da skript problemi — düzəldildi.) PASS.</t>
  </si>
  <si>
    <t>TC_API_PAY_029</t>
  </si>
  <si>
    <t>Yoxlama ardıcıllığı: INVALID_SUBSCRIBER məbləğ xətasından əvvəl gəlir</t>
  </si>
  <si>
    <t>Authorization: Bearer {{token}}
Content-Type: application/json
Idempotency-Key: {{uuid}}
Body: {"cardId":"{{cardId}}","billerId":"azercell","subscriberNo":"123","amount":500}</t>
  </si>
  <si>
    <t>code = "INVALID_SUBSCRIBER" (AMOUNT_OUT_OF_RANGE YOX)</t>
  </si>
  <si>
    <t>GRAD-302 Qeyd: yoxlama ardıcıllığı</t>
  </si>
  <si>
    <t>TC_API_PAY_030</t>
  </si>
  <si>
    <t>spentToday Bakı vaxtı ilə 00:00-da sıfırlanır</t>
  </si>
  <si>
    <t>Token: user1@test.com / User1234 (POST /auth/login, bütün testlər eyni sandbox token-i ilə); kartla bu gün ödəniş edilib</t>
  </si>
  <si>
    <t>Authorization: Bearer {{token}}
Content-Type: application/json
Idempotency-Key: {{uuid}}
Body: GET /cards/{{cardId}} — 00:00 (GMT+4)-dan əvvəl və sonra</t>
  </si>
  <si>
    <t>00:00-dan sonra spentToday = 0, availableBalance dəyişmir</t>
  </si>
  <si>
    <t>Gecə yarısını gözləmək tələb edir → manual</t>
  </si>
  <si>
    <t>GRAD-202 Description</t>
  </si>
  <si>
    <t>Callman, 1 token (gecə yarısından əvvəl və sonra eyni sandbox). 09.10 23:43 login; kart vcd_r3cnnnrw (1000 AZN). Azərişıq 300 → 201 (balanceAfter 700); 200 → 201 (balanceAfter 500); 1 → 422 DAILY_LIMIT_EXCEEDED (limit 500, spentToday 500, remaining 0). GET kart: spentToday 500. 10.10 00:07: GET kart → spentToday 0, availableBalance 500 (balans dəyişmir, yalnız gündəlik xərc sıfırlanır); 10 AZN → 201, balanceAfter 490. Müşahidə: yeni gündə receiptNo-nun tarix hissəsi dəyişdi (RCP-20261010-...), ardıcıl nömrə isə sıfırlanmadı (000003) — sayğac sandbox üzrədir, gün üzrə yox.</t>
  </si>
  <si>
    <t>TC_API_HIS_001</t>
  </si>
  <si>
    <t>Parametrsiz tarixçə: page 1, limit 10, ən yeni birinci</t>
  </si>
  <si>
    <t>Token: user1@test.com / User1234 (POST /auth/login, bütün testlər eyni sandbox token-i ilə); sandbox-da 18 ödəniş (12 azercell, 6 citynet), hamısı bu gün</t>
  </si>
  <si>
    <t>page = 1, limit = 10, total = 18, totalPages = 2
items.size() = 10; createdAt azalan sırada</t>
  </si>
  <si>
    <t>GRAD-303 AC-1</t>
  </si>
  <si>
    <t>Yes — PaymentHistoryTest</t>
  </si>
  <si>
    <t>TC_API_HIS_002</t>
  </si>
  <si>
    <t>page=2 qalan 8 elementi qaytarır</t>
  </si>
  <si>
    <t>Authorization: Bearer {{token}}
Query: page=2&amp;limit=10</t>
  </si>
  <si>
    <t>items.size() = 8, totalPages = 2</t>
  </si>
  <si>
    <t>GRAD-303 AC-2</t>
  </si>
  <si>
    <t>TC_API_HIS_003</t>
  </si>
  <si>
    <t>Mövcud olmayan səhifə boş siyahı qaytarır</t>
  </si>
  <si>
    <t>Authorization: Bearer {{token}}
Query: page=3</t>
  </si>
  <si>
    <t>items = [], total = 18</t>
  </si>
  <si>
    <t>GRAD-303 AC-3</t>
  </si>
  <si>
    <t>TC_API_HIS_004</t>
  </si>
  <si>
    <t>limit BVA: 0 / 1 / 50 / 51</t>
  </si>
  <si>
    <t>Authorization: Bearer {{token}}
Query: Cədvəl: limit=0, 1, 50, 51</t>
  </si>
  <si>
    <t>400 / 200 / 200 / 400</t>
  </si>
  <si>
    <t>0 və 51: code = "VALIDATION_ERROR"
1: items.size() = 1
50: items.size() = 18</t>
  </si>
  <si>
    <t>GRAD-303 AC-4</t>
  </si>
  <si>
    <t>Callman icrası: status 400 / 200 / 200 / 400; gözlənilən body/code ilə üst-üstə düşür (bütün assertion-lar PASS). PASS.</t>
  </si>
  <si>
    <t>TC_API_HIS_005</t>
  </si>
  <si>
    <t>page etibarsız dəyərləri: 0 / −1 / abc</t>
  </si>
  <si>
    <t>Authorization: Bearer {{token}}
Query: Cədvəl: page=0, -1, abc</t>
  </si>
  <si>
    <t>Hər sətir: code = "VALIDATION_ERROR", field = "page"</t>
  </si>
  <si>
    <t>TC_API_HIS_006</t>
  </si>
  <si>
    <t>Mövcud olmayan tarix rədd edilir</t>
  </si>
  <si>
    <t>Authorization: Bearer {{token}}
Query: Cədvəl: from=2026-13-01, from=2026-02-30</t>
  </si>
  <si>
    <t>code = "VALIDATION_ERROR", field = "from"</t>
  </si>
  <si>
    <t>GRAD-303 AC-5</t>
  </si>
  <si>
    <t>TC_API_HIS_007</t>
  </si>
  <si>
    <t>Səhv tarix formatı rədd edilir</t>
  </si>
  <si>
    <t>Authorization: Bearer {{token}}
Query: from=28-09-2026</t>
  </si>
  <si>
    <t>GRAD-303 Parametrlər (YYYY-MM-DD)</t>
  </si>
  <si>
    <t>TC_API_HIS_008</t>
  </si>
  <si>
    <t>from &gt; to rədd edilir</t>
  </si>
  <si>
    <t>Authorization: Bearer {{token}}
Query: from=2026-09-30&amp;to=2026-09-01</t>
  </si>
  <si>
    <t>GRAD-303 AC-6</t>
  </si>
  <si>
    <t>TC_API_HIS_009</t>
  </si>
  <si>
    <t>from = to = bu gün — günün bütün ödənişləri (inclusive)</t>
  </si>
  <si>
    <t>Authorization: Bearer {{token}}
Query: from={{today}}&amp;to={{today}}&amp;limit=50</t>
  </si>
  <si>
    <t>total = 18 (Bakı vaxtı ilə bu günün bütün ödənişləri)</t>
  </si>
  <si>
    <t>Tarix sərhədi (inclusive) → avtomat; gecə yarısına yaxın icra edilməməlidir</t>
  </si>
  <si>
    <t>GRAD-303 AC-7</t>
  </si>
  <si>
    <t>TC_API_HIS_010</t>
  </si>
  <si>
    <t>billerId=citynet — yalnız CityNet ödənişləri, total uyğun</t>
  </si>
  <si>
    <t>Authorization: Bearer {{token}}
Query: billerId=citynet</t>
  </si>
  <si>
    <t>total = 6
items.billerId hamısı "citynet"</t>
  </si>
  <si>
    <t>GRAD-303 AC-8</t>
  </si>
  <si>
    <t>TC_API_HIS_011</t>
  </si>
  <si>
    <t>cardId filtri yalnız həmin kartın ödənişlərini qaytarır</t>
  </si>
  <si>
    <t>Authorization: Bearer {{token}}
Query: cardId={{cardId}}</t>
  </si>
  <si>
    <t>items-in hamısı həmin karta aiddir; total = həmin kartla edilən ödəniş sayı</t>
  </si>
  <si>
    <t>GRAD-303 Parametrlər</t>
  </si>
  <si>
    <t>TC_API_HIS_012</t>
  </si>
  <si>
    <t>Filtr + səhifələmə: total filtrdən sonrakı ümumi saydır</t>
  </si>
  <si>
    <t>Authorization: Bearer {{token}}
Query: billerId=azercell&amp;limit=5&amp;page=3</t>
  </si>
  <si>
    <t>total = 12 (səhifədəki say yox), totalPages = 3, items.size() = 2</t>
  </si>
  <si>
    <t>GRAD-303 Qeyd</t>
  </si>
  <si>
    <t>billerId=azercell&amp;limit=5&amp;page=3 → total 12, totalPages 3, 2 element (total filtrdən sonrakı saydır). PASS.</t>
  </si>
  <si>
    <t>TC_API_HIS_013</t>
  </si>
  <si>
    <t>Ödənişi olmayan sandbox-da boş tarixçə</t>
  </si>
  <si>
    <t>TC_API_HIS_014</t>
  </si>
  <si>
    <t>Tarixçə cavabı JSON Schema-ya uyğundur</t>
  </si>
  <si>
    <t>payment-history-schema.json: page, limit, total, totalPages (integer); items[] (payment)</t>
  </si>
  <si>
    <t>API Decision Table — yoxlama qaydaları və nəticələr</t>
  </si>
  <si>
    <t>Y = şərt ödənilir, N = ödənilmir, – = nəticəyə təsir etmir (yoxlama əvvəlki addımda dayanır). Qaydalar API-nin yoxlama ardıcıllığı ilə düzülüb (collapsed decision table). Hər qayda ən azı bir test case ilə əhatə olunub.</t>
  </si>
  <si>
    <t>1) GRAD-302 POST /bill-payments — ödənişin qəbulu</t>
  </si>
  <si>
    <t>Şərt / Nəticə</t>
  </si>
  <si>
    <t>R1</t>
  </si>
  <si>
    <t>R2</t>
  </si>
  <si>
    <t>R3</t>
  </si>
  <si>
    <t>R4</t>
  </si>
  <si>
    <t>R5</t>
  </si>
  <si>
    <t>R6</t>
  </si>
  <si>
    <t>R7</t>
  </si>
  <si>
    <t>R8</t>
  </si>
  <si>
    <t>R9</t>
  </si>
  <si>
    <t>R10</t>
  </si>
  <si>
    <t>R11</t>
  </si>
  <si>
    <t>R12</t>
  </si>
  <si>
    <t>C1. Sorğu validdir (məcburi sahələr, tiplər, 2 onluq, Idempotency-Key 8–64)</t>
  </si>
  <si>
    <t>Y</t>
  </si>
  <si>
    <t>N</t>
  </si>
  <si>
    <t>C2. Kart mövcuddur və istifadəçiyə məxsusdur</t>
  </si>
  <si>
    <t>–</t>
  </si>
  <si>
    <t>C3. Təchizatçı mövcuddur</t>
  </si>
  <si>
    <t>C4. Kart ACTIVE-dir</t>
  </si>
  <si>
    <t>C5. Kart valyutası AZN-dir</t>
  </si>
  <si>
    <t>C6. Abunəçi nömrəsi təchizatçının formatına uyğundur</t>
  </si>
  <si>
    <t>C7. Məbləğ təchizatçının min–max aralığındadır</t>
  </si>
  <si>
    <t>C8. total ≤ 300 (tək əməliyyat limiti)</t>
  </si>
  <si>
    <t>C9. spentToday + total ≤ 500 (gündəlik limit)</t>
  </si>
  <si>
    <t>C10. Kart balansı ≥ total</t>
  </si>
  <si>
    <t>code</t>
  </si>
  <si>
    <t>— (SUCCESS)</t>
  </si>
  <si>
    <t>VALIDATION_ERROR / IDEMPOTENCY_KEY_*</t>
  </si>
  <si>
    <t>CARD_NOT_FOUND</t>
  </si>
  <si>
    <t>biller not found</t>
  </si>
  <si>
    <t>CARD_NOT_ACTIVE</t>
  </si>
  <si>
    <t>CURRENCY_NOT_SUPPORTED</t>
  </si>
  <si>
    <t>INVALID_SUBSCRIBER</t>
  </si>
  <si>
    <t>AMOUNT_OUT_OF_RANGE</t>
  </si>
  <si>
    <t>PER_TRANSACTION_LIMIT</t>
  </si>
  <si>
    <t>DAILY_LIMIT_EXCEEDED + remaining</t>
  </si>
  <si>
    <t>INSUFFICIENT_FUNDS</t>
  </si>
  <si>
    <t>INVALID_SUBSCRIBER (ardıcıllıq)</t>
  </si>
  <si>
    <t>Balans dəyişir?</t>
  </si>
  <si>
    <t>Bəli (−total)</t>
  </si>
  <si>
    <t>Xeyr</t>
  </si>
  <si>
    <t>Test case-lər</t>
  </si>
  <si>
    <t>PAY_001, PAY_011, PAY_014–017</t>
  </si>
  <si>
    <t>PAY_007, PAY_008, PAY_024, PAY_025, PAY_028</t>
  </si>
  <si>
    <t>PAY_027</t>
  </si>
  <si>
    <t>PAY_026</t>
  </si>
  <si>
    <t>BLK_017, BLK_018</t>
  </si>
  <si>
    <t>PAY_023</t>
  </si>
  <si>
    <t>PAY_010, PAY_012</t>
  </si>
  <si>
    <t>PAY_013</t>
  </si>
  <si>
    <t>PAY_018</t>
  </si>
  <si>
    <t>PAY_019, PAY_020</t>
  </si>
  <si>
    <t>PAY_021, PAY_022</t>
  </si>
  <si>
    <t>PAY_029</t>
  </si>
  <si>
    <t>2) GRAD-201 POST /cards — kartın buraxılması</t>
  </si>
  <si>
    <t>C1. Body validdir (accountId var, initialAmount ədəd, 2 onluq, 1.00–1000.00)</t>
  </si>
  <si>
    <t>C2. Hesab istifadəçiyə məxsusdur</t>
  </si>
  <si>
    <t>C3. ACTIVE + FROZEN kart sayı &lt; 3 (BLOCKED sayılmır)</t>
  </si>
  <si>
    <t>C4. Hesab balansı ≥ initialAmount</t>
  </si>
  <si>
    <t>— (ACTIVE kart)</t>
  </si>
  <si>
    <t>VALIDATION_ERROR</t>
  </si>
  <si>
    <t>FORBIDDEN (GQ_API_01)</t>
  </si>
  <si>
    <t>CARD_LIMIT_REACHED</t>
  </si>
  <si>
    <t>CARD_001, CARD_006, CARD_007, CARD_017, CARD_020</t>
  </si>
  <si>
    <t>CARD_005, CARD_008–011, CARD_013</t>
  </si>
  <si>
    <t>CARD_014</t>
  </si>
  <si>
    <t>CARD_018, CARD_019</t>
  </si>
  <si>
    <t>CARD_016</t>
  </si>
  <si>
    <t>Qeyd: R12 (PAY_029) yoxlama ardıcıllığını təsdiqləyir — həm abunəçi formatı, həm məbləğ səhv olduqda API əvvəlcə INVALID_SUBSCRIBER qaytarır. Digər şərtlərin bir-birinə nisbətən ardıcıllığı backlog-da göstərilməyib; ona görə hər qaydada yalnız bir şərt pozulur.</t>
  </si>
  <si>
    <t>Task</t>
  </si>
  <si>
    <t>Coverage % (avtomat)</t>
  </si>
  <si>
    <t>GRAD — Auth</t>
  </si>
  <si>
    <t>Ümumi qaydalar</t>
  </si>
  <si>
    <t>GRAD-101</t>
  </si>
  <si>
    <t>GRAD-102</t>
  </si>
  <si>
    <t>GRAD-103</t>
  </si>
  <si>
    <t>GRAD-201</t>
  </si>
  <si>
    <t>GRAD-202</t>
  </si>
  <si>
    <t>GRAD-203</t>
  </si>
  <si>
    <t>GRAD-204</t>
  </si>
  <si>
    <t>GRAD-301</t>
  </si>
  <si>
    <t>GRAD-302</t>
  </si>
  <si>
    <t>GRAD-303</t>
  </si>
  <si>
    <t>Qeyd: bir neçə endpoint-ə toxunan ssenarilər (məs. bloklanmış kartla ödəniş) əsas yoxlanılan endpoint-ə görə sayılır. Cəmi TC sayı API_Test Cases sheet-indəki sətir sayı ilə üst-üstə düşməlidir.</t>
  </si>
  <si>
    <t>Requirement (Task / AC)</t>
  </si>
  <si>
    <t>Acceptance criteria (qısa)</t>
  </si>
  <si>
    <t>Avtomat TC sayı</t>
  </si>
  <si>
    <t>RestAssured test class</t>
  </si>
  <si>
    <t>Etibarlı sorğu → 201, id/iban/ibanMasked/currency/nickname/createdAt, Location header</t>
  </si>
  <si>
    <t>TC_API_BEN_001, TC_API_BEN_002</t>
  </si>
  <si>
    <t>Əhatə olunub</t>
  </si>
  <si>
    <t>BeneficiaryTest.Create</t>
  </si>
  <si>
    <t>Boşluqlu/kiçik hərfli IBAN normallaşdırılır</t>
  </si>
  <si>
    <t>TC_API_BEN_003, TC_API_BEN_025</t>
  </si>
  <si>
    <t>nickname yoxdursa null</t>
  </si>
  <si>
    <t>Bir neçə səhv sahə → hər biri details-də</t>
  </si>
  <si>
    <t>fullName 1/51 rədd, 2/50 qəbul</t>
  </si>
  <si>
    <t>TC_API_BEN_006, TC_API_BEN_007, TC_API_BEN_008, TC_API_BEN_009, TC_API_BEN_010</t>
  </si>
  <si>
    <t>fullName "---" / "Ali2" rədd</t>
  </si>
  <si>
    <t>TC_API_BEN_011, TC_API_BEN_012</t>
  </si>
  <si>
    <t>Dublikat IBAN → 409 BENEFICIARY_EXISTS</t>
  </si>
  <si>
    <t>TC_API_BEN_024, TC_API_BEND_006</t>
  </si>
  <si>
    <t>Ləqəb case-insensitive → 409 NICKNAME_TAKEN</t>
  </si>
  <si>
    <t>Öz IBAN-ı → 422 OWN_ACCOUNT</t>
  </si>
  <si>
    <t>11-ci alıcı → 422 LIMIT_REACHED</t>
  </si>
  <si>
    <t>TC_API_BEN_029, TC_API_BEN_030, TC_API_BEND_007</t>
  </si>
  <si>
    <t>Parametrsiz: total = items.length, ən yeni birinci</t>
  </si>
  <si>
    <t>TC_API_BENL_001, TC_API_BENL_002</t>
  </si>
  <si>
    <t>BeneficiaryTest.ListBeneficiaries</t>
  </si>
  <si>
    <t>sort=fullName asc — Azərbaycan əlifbası</t>
  </si>
  <si>
    <t>TC_API_BENL_003, TC_API_BENL_004</t>
  </si>
  <si>
    <t>currency=USD filtri</t>
  </si>
  <si>
    <t>TC_API_BENL_006, TC_API_BENL_007</t>
  </si>
  <si>
    <t>q=NİGAR / NIGAR — hər ikisi tapır</t>
  </si>
  <si>
    <t>TC_API_BENL_008, TC_API_BENL_009, TC_API_BENL_010</t>
  </si>
  <si>
    <t>Ləqəbə görə axtarış</t>
  </si>
  <si>
    <t>— (manual)</t>
  </si>
  <si>
    <t>q 1 simvol → 400, field q</t>
  </si>
  <si>
    <t>TC_API_BENL_012, TC_API_BENL_013</t>
  </si>
  <si>
    <t>Heç nə tapılmır → 200, total 0</t>
  </si>
  <si>
    <t>TC_API_BENL_014, TC_API_BENL_019</t>
  </si>
  <si>
    <t>Silmə → 204, body boş</t>
  </si>
  <si>
    <t>BeneficiaryTest.Delete</t>
  </si>
  <si>
    <t>Silinmiş alıcı siyahıda yox, total −1</t>
  </si>
  <si>
    <t>Təkrar silmə → 404</t>
  </si>
  <si>
    <t>GRAD-103 AC-4</t>
  </si>
  <si>
    <t>Başqasının alıcısı → 404</t>
  </si>
  <si>
    <t>201, ACTIVE, balans = initialAmount, limitlər 500/300</t>
  </si>
  <si>
    <t>TC_API_CARD_001, TC_API_CARD_003</t>
  </si>
  <si>
    <t>CardTest.Create</t>
  </si>
  <si>
    <t>maskedPan və expiry formatı</t>
  </si>
  <si>
    <t>TC_API_SEC_007, TC_API_CARD_002</t>
  </si>
  <si>
    <t>initialAmount 0.99/1000.01 rədd, 1.00/1000.00 qəbul</t>
  </si>
  <si>
    <t>TC_API_CARD_005, TC_API_CARD_006, TC_API_CARD_007, TC_API_CARD_008</t>
  </si>
  <si>
    <t>"50" / 10.555 rədd</t>
  </si>
  <si>
    <t>TC_API_CARD_009, TC_API_CARD_010</t>
  </si>
  <si>
    <t>Başqasının hesabı → 403</t>
  </si>
  <si>
    <t>Balansdan çox → 422 INSUFFICIENT_FUNDS</t>
  </si>
  <si>
    <t>TC_API_CARD_016, TC_API_CARD_017</t>
  </si>
  <si>
    <t>4-cü kart → 422 CARD_LIMIT_REACHED</t>
  </si>
  <si>
    <t>TC_API_CARD_018, TC_API_CARD_019</t>
  </si>
  <si>
    <t>BLOCKED kart limitə sayılmır</t>
  </si>
  <si>
    <t>GET = POST dəyərləri</t>
  </si>
  <si>
    <t>CardTest.Get</t>
  </si>
  <si>
    <t>Ödənişdən sonra balans/spentToday</t>
  </si>
  <si>
    <t>Başqasının kartı → 404</t>
  </si>
  <si>
    <t>CardStateTransitionTest</t>
  </si>
  <si>
    <t>FROZEN + STOLEN → BLOCKED</t>
  </si>
  <si>
    <t>BLOCKED + istənilən → 409 CARD_BLOCKED</t>
  </si>
  <si>
    <t>TC_API_BLK_007, TC_API_BLK_008, TC_API_BLK_009</t>
  </si>
  <si>
    <t>reason "BROKEN" / yoxdur → 400</t>
  </si>
  <si>
    <t>TC_API_BLK_010, TC_API_BLK_011</t>
  </si>
  <si>
    <t>FROZEN/BLOCKED kartla ödəniş → 422 CARD_NOT_ACTIVE</t>
  </si>
  <si>
    <t>TC_API_BLK_017, TC_API_BLK_018</t>
  </si>
  <si>
    <t>FROZEN → ACTIVE</t>
  </si>
  <si>
    <t>ACTIVE → 409 NOT_FROZEN</t>
  </si>
  <si>
    <t>BLOCKED → 409 PERMANENTLY_BLOCKED</t>
  </si>
  <si>
    <t>TC_API_UNB_003, TC_API_UNB_004</t>
  </si>
  <si>
    <t>Açılmış kartla ödəniş → 201</t>
  </si>
  <si>
    <t>Parametrsiz → total 6, sahələr</t>
  </si>
  <si>
    <t>TC_API_BIL_001, TC_API_BIL_009</t>
  </si>
  <si>
    <t>BillerTest</t>
  </si>
  <si>
    <t>category=MOBILE → Azercell, Bakcell</t>
  </si>
  <si>
    <t>category=GAS → 400</t>
  </si>
  <si>
    <t>201, total = amount + fee, balanceAfter, Location</t>
  </si>
  <si>
    <t>TC_API_PAY_001, TC_API_PAY_002</t>
  </si>
  <si>
    <t>BillPaymentTest</t>
  </si>
  <si>
    <t>Kart balansı/spentToday total qədər dəyişir</t>
  </si>
  <si>
    <t>receiptNo RCP-YYYYMMDD-000001, +1</t>
  </si>
  <si>
    <t>Eyni key + body → 200, Idempotent-Replay, ikiqat çıxılmır</t>
  </si>
  <si>
    <t>Eyni key, fərqli amount → 409</t>
  </si>
  <si>
    <t>Key yoxdur → 400</t>
  </si>
  <si>
    <t>Azercell-ə Bakcell nömrəsi → 422</t>
  </si>
  <si>
    <t>Azercell 0.49/200.01 rədd, 0.50/200.00 qəbul</t>
  </si>
  <si>
    <t>CityNet komissiyası 5/20/21/150</t>
  </si>
  <si>
    <t>Aztelekom sabit 0.50</t>
  </si>
  <si>
    <t>total 300.01 → 422, 300.00 keçir</t>
  </si>
  <si>
    <t>Gündəlik 500 dolub → 422, remaining 0</t>
  </si>
  <si>
    <t>Balans 49.50: 49.51 rədd, 49.50 → balanceAfter 0</t>
  </si>
  <si>
    <t>FROZEN kart / USD kart → 422</t>
  </si>
  <si>
    <t>amount "10" → 400</t>
  </si>
  <si>
    <t>Parametrsiz: page 1, limit 10, ən yeni birinci</t>
  </si>
  <si>
    <t>TC_API_HIS_001, TC_API_HIS_014</t>
  </si>
  <si>
    <t>PaymentHistoryTest</t>
  </si>
  <si>
    <t>page=2 → 8 element, totalPages 2</t>
  </si>
  <si>
    <t>Mövcud olmayan səhifə → items []</t>
  </si>
  <si>
    <t>TC_API_HIS_003, TC_API_HIS_013</t>
  </si>
  <si>
    <t>limit 0/51, page 0/-1/abc → 400</t>
  </si>
  <si>
    <t>TC_API_HIS_004, TC_API_HIS_005</t>
  </si>
  <si>
    <t>Mövcud olmayan tarix → 400</t>
  </si>
  <si>
    <t>from &gt; to → 400</t>
  </si>
  <si>
    <t>from = to = bu gün</t>
  </si>
  <si>
    <t>billerId=citynet filtri</t>
  </si>
  <si>
    <t>Əlavə (backlog qaydaları)</t>
  </si>
  <si>
    <t>Ümumi qaydalar: 401, sandbox izolyasiyası, rate limit, 404 (başqasının resursu), pul sahəsinin tipi, yoxlama ardıcıllığı, Qeydlər bölmələri</t>
  </si>
  <si>
    <t>SC_API_01 + hamısı</t>
  </si>
  <si>
    <t>TC_API_AUTH_001, TC_API_AUTH_002, TC_API_SEC_001, TC_API_SEC_002, TC_API_SEC_003, TC_API_SEC_004, TC_API_SEC_005, TC_API_SEC_006, TC_API_BEN_013, TC_API_BEN_014, TC_API_BEN_015, TC_API_BEN_016, TC_API_BEN_017, TC_API_BEN_018, TC_API_BEN_019, TC_API_BEN_020, TC_API_BEN_021, TC_API_BEN_022, TC_API_BEN_023, TC_API_BEN_028, TC_API_BENL_005, TC_API_BENL_015, TC_API_BENL_016, TC_API_BENL_017, TC_API_BENL_018, TC_API_BEND_005, TC_API_CARD_004, TC_API_CARD_011, TC_API_CARD_012, TC_API_CARD_013, TC_API_CARD_015, TC_API_CARD_021, TC_API_CARDG_004, TC_API_BLK_003, TC_API_BLK_005, TC_API_BLK_012, TC_API_BLK_013, TC_API_BLK_014, TC_API_BLK_015, TC_API_BLK_016, TC_API_UNB_006, TC_API_UNB_007, TC_API_BIL_002, TC_API_BIL_003, TC_API_BIL_005, TC_API_BIL_006, TC_API_BIL_008, TC_API_PAY_008, TC_API_PAY_009, TC_API_PAY_011, TC_API_PAY_012, TC_API_PAY_015, TC_API_PAY_017, TC_API_PAY_020, TC_API_PAY_022, TC_API_PAY_025, TC_API_PAY_026, TC_API_PAY_027, TC_API_PAY_028, TC_API_PAY_029, TC_API_PAY_030, TC_API_HIS_007, TC_API_HIS_011, TC_API_HIS_012</t>
  </si>
  <si>
    <t>AuthSecurityTest, BeneficiaryTest.Create, BillPaymentTest, BillerTest, CardStateTransitionTest, CardTest.Create, CardTest.Get, PaymentHistoryTest</t>
  </si>
  <si>
    <t>Sual</t>
  </si>
  <si>
    <t>Qəbul edilmiş fərziyyə</t>
  </si>
  <si>
    <t>GQ_API_01</t>
  </si>
  <si>
    <t>POST /cards</t>
  </si>
  <si>
    <t>Ümumi qayda "başqa istifadəçinin resursu → 404 (403 yox)" deyir, GRAD-201 AC-5 isə başqasının hesabı (acc_003) üçün 403 FORBIDDEN gözləyir. Hansı doğrudur?</t>
  </si>
  <si>
    <t>403 resursun mövcudluğunu açıqlayır — ümumi təhlükəsizlik qaydası ilə ziddiyyət</t>
  </si>
  <si>
    <t>Təsdiqləndi (icra): API başqasının hesabı üçün 403 FORBIDDEN qaytarır — ümumi qayda ilə ziddiyyət qalır, BUG_API_001</t>
  </si>
  <si>
    <t>Cavablandı</t>
  </si>
  <si>
    <t>GQ_API_02</t>
  </si>
  <si>
    <t>POST /beneficiaries</t>
  </si>
  <si>
    <t>AC-10-da LIMIT_REACHED cavabında "limit": 10 göstərilib, amma sahənin cavabdakı yeri (kök səviyyə və ya details) təyin olunmayıb.</t>
  </si>
  <si>
    <t>Assert yolu səhv yazılarsa test yanlış düşər</t>
  </si>
  <si>
    <t>Təsdiqləndi: "limit": 10 kök səviyyədədir</t>
  </si>
  <si>
    <t>GQ_API_03</t>
  </si>
  <si>
    <t>IBAN yalnız format (AZ + 2 rəqəm + 4 hərf + 20 simvol) üzrə yoxlanılır, yoxsa mod-97 nəzarət rəqəmi də yoxlanılır?</t>
  </si>
  <si>
    <t>Nəzarət rəqəmi yoxlanılırsa test datası (uydurma IBAN-lar) rədd ediləcək</t>
  </si>
  <si>
    <t>TC_API_BEN_002…030</t>
  </si>
  <si>
    <t>Təsdiqləndi: uydurma (nəzarət rəqəmsiz) IBAN-lar qəbul olunur — yalnız format yoxlanılır</t>
  </si>
  <si>
    <t>GQ_API_04</t>
  </si>
  <si>
    <t>fullName trim-dən sonra saxlanılırmı? "  Nigar  " göndərildikdə cavabda trim olunmuş dəyər qaytarılırmı?</t>
  </si>
  <si>
    <t>Dublikat və axtarış davranışına təsir edir</t>
  </si>
  <si>
    <t>Uzunluq trim-dən sonra hesablanır; saxlanılan dəyər də trim olunur</t>
  </si>
  <si>
    <t>Açıq</t>
  </si>
  <si>
    <t>GQ_API_05</t>
  </si>
  <si>
    <t>GET /beneficiaries</t>
  </si>
  <si>
    <t>q boş string (q=) göndərildikdə nə olur: 400 (min 2) və ya parametr nəzərə alınmır?</t>
  </si>
  <si>
    <t>Boş axtarış sahəsi UI-da tez-tez göndərilir</t>
  </si>
  <si>
    <t>q= → 400 VALIDATION_ERROR (min 2 qaydası)</t>
  </si>
  <si>
    <t>GQ_API_06</t>
  </si>
  <si>
    <t>sort=fullName zamanı Azərbaycan əlifbası (C &lt; Ç, E &lt; Ə, I &lt; İ) dəqiq necə tətbiq olunur? Böyük-kiçik hərf sıralamaya təsir edirmi?</t>
  </si>
  <si>
    <t>Sıralama assert-ləri əlifba qaydasından asılıdır</t>
  </si>
  <si>
    <t>TC_API_BENL_003, 004</t>
  </si>
  <si>
    <t>Təsdiqləndi: Azərbaycan əlifbası tətbiq olunur (C&lt;Ç&lt;E&lt;Ə)</t>
  </si>
  <si>
    <t>GQ_API_07</t>
  </si>
  <si>
    <t>Bütün enum sahələr</t>
  </si>
  <si>
    <t>Enum dəyərləri (currency, reason, category) kiçik hərflə göndərildikdə rədd edilir, yoxsa normallaşdırılır? IBAN üçün normallaşdırma var, digərləri üçün qeyd yoxdur.</t>
  </si>
  <si>
    <t>Davranış qeyri-müəyyəndir</t>
  </si>
  <si>
    <t>TC_API_BLK_013, TC_API_BIL_008</t>
  </si>
  <si>
    <t>Təsdiqləndi: kiçik hərfli enum dəyərləri (temporary, mobile) 400 ilə rədd edilir</t>
  </si>
  <si>
    <t>GQ_API_08</t>
  </si>
  <si>
    <t>POST /cards/{id}/block</t>
  </si>
  <si>
    <t>Bloklama/dondurma kartın availableBalance-ına təsir edirmi? BLOCKED kartdakı vəsait nə olur (qaytarılır?)</t>
  </si>
  <si>
    <t>Pul itkisi riski — biznes qaydası təsvir olunmayıb</t>
  </si>
  <si>
    <t>Balans dəyişmir; vəsaitin taleyi bu sprintin scope-undan kənardır</t>
  </si>
  <si>
    <t>GQ_API_09</t>
  </si>
  <si>
    <t>POST /bill-payments</t>
  </si>
  <si>
    <t>spentToday Bakı vaxtı 00:00-da sıfırlanır. Gündəlik limit testləri gecə yarısına yaxın icra olunarsa nəticə dəyişir. Test mühitində vaxtı idarə etmək imkanı varmı?</t>
  </si>
  <si>
    <t>Flaky test riski</t>
  </si>
  <si>
    <t>TC_API_PAY_019, 020, 030</t>
  </si>
  <si>
    <t>Limit testləri 23:30–00:30 (GMT+4) arasında icra edilmir</t>
  </si>
  <si>
    <t>GQ_API_10</t>
  </si>
  <si>
    <t>Idempotency replay (AC-4) zamanı cavab body-si 1-ci cavabla tam eynidirmi (balanceAfter daxil), yoxsa cari balans qaytarılır?</t>
  </si>
  <si>
    <t>Replay assert-i hansı sahələrə yazılmalıdır</t>
  </si>
  <si>
    <t>Body 1-ci cavabla eynidir (balanceAfter dəyişmir)</t>
  </si>
  <si>
    <t>GQ_API_11</t>
  </si>
  <si>
    <t>Idempotency-Key istifadəçiyə/token-ə bağlıdırmı? Eyni açarı başqa user göndərsə nə olur?</t>
  </si>
  <si>
    <t>Açarların toqquşması başqa istifadəçinin ödənişini "replay" edə bilər</t>
  </si>
  <si>
    <t>Açar token (sandbox) daxilində unikaldır</t>
  </si>
  <si>
    <t>GQ_API_12</t>
  </si>
  <si>
    <t>GET /me/accounts</t>
  </si>
  <si>
    <t>user2-nin IBAN-ı və hesab məlumatları üçün GET /me/accounts istifadə olunur, amma bu endpoint backlog-da təsvir olunmayıb (cavab strukturu, sandbox-a təsiri).</t>
  </si>
  <si>
    <t>Test datası hazırlığı sənədləşdirilməmiş endpoint-dən asılıdır</t>
  </si>
  <si>
    <t>Təsdiqləndi: GET /me/accounts → {"total", "data": [ {id, accountNumber, currency, balance, owner, cards, limits, ...} ]}</t>
  </si>
  <si>
    <t>GQ_API_13</t>
  </si>
  <si>
    <t>POST /auth/login</t>
  </si>
  <si>
    <t>Login endpoint-inin xəta davranışı (yanlış şifrə, boş body) backlog-da təsvir olunmayıb.</t>
  </si>
  <si>
    <t>Auth neqativ testlərinin expected nəticəsi fərziyyəyə əsaslanır</t>
  </si>
  <si>
    <t>Təsdiqləndi: yanlış şifrə → 401 {"error":"Email və ya şifrə yanlışdır"}; "code" sahəsi yoxdur (BUG_API_002)</t>
  </si>
  <si>
    <t>GQ_API_14</t>
  </si>
  <si>
    <t>GET /bill-payments</t>
  </si>
  <si>
    <t>from/to filtri Bakı vaxtı ilə işləyir, cavabdakı createdAt isə UTC (Z) formatındadır. 00:00–04:00 (GMT+4) arasında edilən ödəniş hansı günə düşür?</t>
  </si>
  <si>
    <t>Tarix sərhədi testlərində çaşqınlıq</t>
  </si>
  <si>
    <t>Filtr Bakı vaxtına görə tətbiq olunur, createdAt UTC-də qaytarılır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</si>
</sst>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charset val="1"/>
    </font>
    <font>
      <b/>
      <sz val="14"/>
      <color rgb="FF242B58"/>
      <name val="Arial"/>
      <charset val="1"/>
    </font>
    <font>
      <i/>
      <sz val="10"/>
      <name val="Arial"/>
      <charset val="1"/>
    </font>
    <font>
      <b/>
      <sz val="10"/>
      <name val="Arial"/>
      <charset val="1"/>
    </font>
    <font>
      <sz val="10"/>
      <name val="Arial"/>
      <charset val="1"/>
    </font>
    <font>
      <b/>
      <sz val="11"/>
      <color rgb="FF242B58"/>
      <name val="Arial"/>
      <charset val="1"/>
    </font>
    <font>
      <b/>
      <sz val="10"/>
      <color rgb="FFFFFFFF"/>
      <name val="Arial"/>
      <charset val="1"/>
    </font>
    <font>
      <i/>
      <sz val="9"/>
      <name val="Cambria"/>
      <charset val="1"/>
    </font>
    <font>
      <b/>
      <sz val="15"/>
      <color rgb="FF242B58"/>
      <name val="Cambria"/>
      <charset val="1"/>
    </font>
    <font>
      <b/>
      <sz val="13"/>
      <color rgb="FF242B58"/>
      <name val="Cambria"/>
      <charset val="1"/>
    </font>
    <font>
      <b/>
      <sz val="11"/>
      <color rgb="FFFFFFFF"/>
      <name val="Cambria"/>
      <charset val="1"/>
    </font>
    <font>
      <sz val="11"/>
      <name val="Cambria"/>
      <charset val="1"/>
    </font>
    <font>
      <b/>
      <sz val="11"/>
      <name val="Cambria"/>
      <charset val="1"/>
    </font>
    <font>
      <i/>
      <sz val="11"/>
      <name val="Cambria"/>
      <charset val="1"/>
    </font>
  </fonts>
  <fills count="8">
    <fill>
      <patternFill patternType="none"/>
    </fill>
    <fill>
      <patternFill patternType="gray125"/>
    </fill>
    <fill>
      <patternFill patternType="solid">
        <fgColor rgb="FFE8EAF3"/>
        <bgColor rgb="FFE8EAF2"/>
      </patternFill>
    </fill>
    <fill>
      <patternFill patternType="solid">
        <fgColor rgb="FF242B58"/>
        <bgColor rgb="FF003366"/>
      </patternFill>
    </fill>
    <fill>
      <patternFill patternType="solid">
        <fgColor rgb="FFE8EAF2"/>
        <bgColor rgb="FFE8EAF3"/>
      </patternFill>
    </fill>
    <fill>
      <patternFill patternType="solid">
        <fgColor rgb="FFE2EFDA"/>
        <bgColor rgb="FFE8EAF2"/>
      </patternFill>
    </fill>
    <fill>
      <patternFill patternType="solid">
        <fgColor rgb="FFFCE4D6"/>
        <bgColor rgb="FFE8EAF2"/>
      </patternFill>
    </fill>
    <fill>
      <patternFill patternType="solid">
        <fgColor rgb="FFDDEBF7"/>
        <bgColor rgb="FFE8EAF3"/>
      </patternFill>
    </fill>
  </fills>
  <borders count="3">
    <border>
      <left/>
      <right/>
      <top/>
      <bottom/>
      <diagonal/>
    </border>
    <border>
      <left style="thin">
        <color rgb="FFB7BCD6"/>
      </left>
      <right style="thin">
        <color rgb="FFB7BCD6"/>
      </right>
      <top style="thin">
        <color rgb="FFB7BCD6"/>
      </top>
      <bottom style="thin">
        <color rgb="FFB7BCD6"/>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9">
    <xf numFmtId="0" fontId="0" fillId="0" borderId="0" xfId="0"/>
    <xf numFmtId="0" fontId="0" fillId="0" borderId="0" xfId="0" applyAlignment="1">
      <alignment vertical="top" wrapText="1"/>
    </xf>
    <xf numFmtId="0" fontId="7" fillId="0" borderId="0" xfId="0" applyFont="1" applyAlignment="1">
      <alignment vertical="top" wrapText="1"/>
    </xf>
    <xf numFmtId="0" fontId="4" fillId="0" borderId="1" xfId="0" applyFont="1" applyBorder="1" applyAlignment="1">
      <alignment vertical="top" wrapText="1"/>
    </xf>
    <xf numFmtId="0" fontId="1" fillId="0" borderId="0" xfId="0" applyFont="1" applyAlignment="1">
      <alignment wrapText="1"/>
    </xf>
    <xf numFmtId="0" fontId="2" fillId="0" borderId="0" xfId="0" applyFont="1" applyAlignment="1">
      <alignment wrapText="1"/>
    </xf>
    <xf numFmtId="0" fontId="3" fillId="2" borderId="1" xfId="0" applyFont="1" applyFill="1" applyBorder="1" applyAlignment="1">
      <alignment vertical="top" wrapText="1"/>
    </xf>
    <xf numFmtId="0" fontId="4" fillId="0" borderId="1" xfId="0" applyFont="1" applyBorder="1" applyAlignment="1">
      <alignment vertical="top" wrapText="1"/>
    </xf>
    <xf numFmtId="0" fontId="5" fillId="0" borderId="0" xfId="0" applyFont="1" applyAlignment="1">
      <alignment wrapText="1"/>
    </xf>
    <xf numFmtId="0" fontId="6" fillId="3" borderId="1" xfId="0" applyFont="1" applyFill="1" applyBorder="1" applyAlignment="1">
      <alignment horizontal="center" vertical="center" wrapText="1"/>
    </xf>
    <xf numFmtId="0" fontId="4" fillId="2" borderId="1" xfId="0" applyFont="1" applyFill="1" applyBorder="1" applyAlignment="1">
      <alignment vertical="top" wrapText="1"/>
    </xf>
    <xf numFmtId="0" fontId="3" fillId="0" borderId="1" xfId="0" applyFont="1" applyBorder="1" applyAlignment="1">
      <alignment horizontal="center" vertical="top" wrapText="1"/>
    </xf>
    <xf numFmtId="0" fontId="4" fillId="0" borderId="1" xfId="0" applyFont="1" applyBorder="1" applyAlignment="1">
      <alignment horizontal="center" vertical="top" wrapText="1"/>
    </xf>
    <xf numFmtId="0" fontId="3" fillId="2" borderId="1" xfId="0" applyFont="1" applyFill="1" applyBorder="1" applyAlignment="1">
      <alignment horizontal="center" vertical="top" wrapText="1"/>
    </xf>
    <xf numFmtId="0" fontId="4" fillId="2" borderId="1" xfId="0" applyFont="1" applyFill="1" applyBorder="1" applyAlignment="1">
      <alignment horizontal="center" vertical="top" wrapText="1"/>
    </xf>
    <xf numFmtId="0" fontId="3" fillId="2" borderId="1" xfId="0" applyFont="1" applyFill="1" applyBorder="1" applyAlignment="1">
      <alignment horizontal="center"/>
    </xf>
    <xf numFmtId="0" fontId="4" fillId="0" borderId="1" xfId="0" applyFont="1" applyBorder="1" applyAlignment="1">
      <alignment horizontal="center"/>
    </xf>
    <xf numFmtId="164" fontId="4" fillId="0" borderId="1" xfId="0" applyNumberFormat="1" applyFont="1" applyBorder="1" applyAlignment="1">
      <alignment horizontal="center"/>
    </xf>
    <xf numFmtId="164" fontId="3" fillId="2" borderId="1" xfId="0" applyNumberFormat="1" applyFont="1" applyFill="1" applyBorder="1" applyAlignment="1">
      <alignment horizontal="center"/>
    </xf>
    <xf numFmtId="0" fontId="0" fillId="0" borderId="0" xfId="0" applyAlignment="1">
      <alignment wrapText="1"/>
    </xf>
    <xf numFmtId="9" fontId="4" fillId="0" borderId="1" xfId="0" applyNumberFormat="1" applyFont="1" applyBorder="1" applyAlignment="1">
      <alignment horizontal="center"/>
    </xf>
    <xf numFmtId="0" fontId="4" fillId="0" borderId="1" xfId="0" applyFont="1" applyBorder="1" applyAlignment="1">
      <alignment horizontal="center" wrapText="1"/>
    </xf>
    <xf numFmtId="0" fontId="3" fillId="4" borderId="2" xfId="0" applyFont="1" applyFill="1" applyBorder="1" applyAlignment="1">
      <alignment vertical="top" wrapText="1"/>
    </xf>
    <xf numFmtId="0" fontId="4" fillId="0" borderId="2" xfId="0" applyFont="1" applyBorder="1" applyAlignment="1">
      <alignment vertical="top" wrapText="1"/>
    </xf>
    <xf numFmtId="0" fontId="6" fillId="3" borderId="2" xfId="0" applyFont="1" applyFill="1" applyBorder="1" applyAlignment="1">
      <alignment horizontal="center" vertical="center" wrapText="1"/>
    </xf>
    <xf numFmtId="0" fontId="3" fillId="0" borderId="2" xfId="0" applyFont="1" applyBorder="1" applyAlignment="1">
      <alignment vertical="top" wrapText="1"/>
    </xf>
    <xf numFmtId="0" fontId="8" fillId="0" borderId="0" xfId="0" applyFont="1" applyAlignment="1">
      <alignment wrapText="1"/>
    </xf>
    <xf numFmtId="0" fontId="9" fillId="0" borderId="0" xfId="0" applyFont="1" applyAlignment="1">
      <alignment wrapText="1"/>
    </xf>
    <xf numFmtId="0" fontId="10" fillId="3" borderId="2" xfId="0" applyFont="1" applyFill="1" applyBorder="1" applyAlignment="1">
      <alignment horizontal="center" vertical="center" wrapText="1"/>
    </xf>
    <xf numFmtId="0" fontId="11" fillId="0" borderId="2" xfId="0" applyFont="1" applyBorder="1" applyAlignment="1">
      <alignment vertical="top" wrapText="1"/>
    </xf>
    <xf numFmtId="0" fontId="0" fillId="5" borderId="2" xfId="0" applyFill="1" applyBorder="1" applyAlignment="1">
      <alignment horizontal="center" vertical="center" wrapText="1"/>
    </xf>
    <xf numFmtId="0" fontId="0" fillId="6" borderId="2" xfId="0" applyFill="1" applyBorder="1" applyAlignment="1">
      <alignment horizontal="center" vertical="center" wrapText="1"/>
    </xf>
    <xf numFmtId="0" fontId="0" fillId="0" borderId="2" xfId="0" applyBorder="1" applyAlignment="1">
      <alignment horizontal="center" vertical="center" wrapText="1"/>
    </xf>
    <xf numFmtId="0" fontId="12" fillId="7" borderId="2" xfId="0" applyFont="1" applyFill="1" applyBorder="1" applyAlignment="1">
      <alignment vertical="top" wrapText="1"/>
    </xf>
    <xf numFmtId="0" fontId="12" fillId="7" borderId="2" xfId="0" applyFont="1" applyFill="1" applyBorder="1" applyAlignment="1">
      <alignment horizontal="center" vertical="center" wrapText="1"/>
    </xf>
    <xf numFmtId="0" fontId="13" fillId="0" borderId="2" xfId="0" applyFont="1" applyBorder="1" applyAlignment="1">
      <alignment wrapText="1"/>
    </xf>
    <xf numFmtId="0" fontId="7" fillId="0" borderId="2" xfId="0" applyFont="1" applyBorder="1" applyAlignment="1">
      <alignment horizontal="center" vertical="center" wrapText="1"/>
    </xf>
    <xf numFmtId="9" fontId="4" fillId="0" borderId="2" xfId="0" applyNumberFormat="1" applyFont="1" applyBorder="1" applyAlignment="1">
      <alignment vertical="top" wrapText="1"/>
    </xf>
    <xf numFmtId="9" fontId="3" fillId="0" borderId="2" xfId="0" applyNumberFormat="1" applyFont="1" applyBorder="1" applyAlignment="1">
      <alignment vertical="top" wrapText="1"/>
    </xf>
  </cellXfs>
  <cellStyles count="1">
    <cellStyle name="Normal" xfId="0" builtinId="0"/>
  </cellStyles>
  <dxfs count="5">
    <dxf>
      <font>
        <b/>
        <color rgb="FF1F4E78"/>
        <name val="Arial"/>
        <charset val="1"/>
      </font>
      <fill>
        <patternFill>
          <bgColor rgb="FFDDEBF7"/>
        </patternFill>
      </fill>
    </dxf>
    <dxf>
      <fill>
        <patternFill>
          <bgColor rgb="FFFFEB9C"/>
        </patternFill>
      </fill>
    </dxf>
    <dxf>
      <fill>
        <patternFill>
          <bgColor rgb="FFFFC7CE"/>
        </patternFill>
      </fill>
    </dxf>
    <dxf>
      <fill>
        <patternFill>
          <bgColor rgb="FFC6EFCE"/>
        </patternFill>
      </fill>
    </dxf>
    <dxf>
      <font>
        <b/>
        <color rgb="FFC00000"/>
        <name val="Arial"/>
        <charset val="1"/>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2EFDA"/>
      <rgbColor rgb="FFDDEBF7"/>
      <rgbColor rgb="FF660066"/>
      <rgbColor rgb="FFFF8080"/>
      <rgbColor rgb="FF0066CC"/>
      <rgbColor rgb="FFB7BCD6"/>
      <rgbColor rgb="FF000080"/>
      <rgbColor rgb="FFFF00FF"/>
      <rgbColor rgb="FFFFFF00"/>
      <rgbColor rgb="FF00FFFF"/>
      <rgbColor rgb="FF800080"/>
      <rgbColor rgb="FF800000"/>
      <rgbColor rgb="FF008080"/>
      <rgbColor rgb="FF0000FF"/>
      <rgbColor rgb="FF00CCFF"/>
      <rgbColor rgb="FFE8EAF3"/>
      <rgbColor rgb="FFC6EFCE"/>
      <rgbColor rgb="FFFFEB9C"/>
      <rgbColor rgb="FFE8EAF2"/>
      <rgbColor rgb="FFFCE4D6"/>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242B5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
  <sheetViews>
    <sheetView topLeftCell="A21" zoomScale="90" zoomScaleNormal="90" workbookViewId="0">
      <selection activeCell="K7" sqref="K7"/>
    </sheetView>
  </sheetViews>
  <sheetFormatPr defaultColWidth="8.6640625" defaultRowHeight="14.4" x14ac:dyDescent="0.3"/>
  <cols>
    <col min="1" max="1" width="30" customWidth="1"/>
    <col min="2" max="2" width="95" customWidth="1"/>
  </cols>
  <sheetData>
    <row r="1" spans="1:2" ht="48.75" customHeight="1" x14ac:dyDescent="0.3">
      <c r="A1" s="4" t="s">
        <v>0</v>
      </c>
    </row>
    <row r="2" spans="1:2" ht="51.75" customHeight="1" x14ac:dyDescent="0.3">
      <c r="A2" s="5" t="s">
        <v>1</v>
      </c>
    </row>
    <row r="3" spans="1:2" ht="25.5" customHeight="1" x14ac:dyDescent="0.3"/>
    <row r="4" spans="1:2" ht="25.5" customHeight="1" x14ac:dyDescent="0.3">
      <c r="A4" s="6" t="s">
        <v>2</v>
      </c>
      <c r="B4" s="7" t="s">
        <v>3</v>
      </c>
    </row>
    <row r="5" spans="1:2" ht="25.5" customHeight="1" x14ac:dyDescent="0.3">
      <c r="A5" s="6" t="s">
        <v>4</v>
      </c>
      <c r="B5" s="7" t="s">
        <v>5</v>
      </c>
    </row>
    <row r="6" spans="1:2" ht="25.5" customHeight="1" x14ac:dyDescent="0.3">
      <c r="A6" s="6" t="s">
        <v>6</v>
      </c>
      <c r="B6" s="7" t="s">
        <v>7</v>
      </c>
    </row>
    <row r="7" spans="1:2" ht="25.5" customHeight="1" x14ac:dyDescent="0.3">
      <c r="A7" s="6" t="s">
        <v>8</v>
      </c>
      <c r="B7" s="7" t="s">
        <v>9</v>
      </c>
    </row>
    <row r="8" spans="1:2" ht="25.5" customHeight="1" x14ac:dyDescent="0.3">
      <c r="A8" s="6" t="s">
        <v>10</v>
      </c>
      <c r="B8" s="7" t="s">
        <v>11</v>
      </c>
    </row>
    <row r="9" spans="1:2" ht="25.5" customHeight="1" x14ac:dyDescent="0.3">
      <c r="A9" s="6" t="s">
        <v>12</v>
      </c>
      <c r="B9" s="7" t="s">
        <v>13</v>
      </c>
    </row>
    <row r="10" spans="1:2" ht="37.5" customHeight="1" x14ac:dyDescent="0.3">
      <c r="A10" s="6" t="s">
        <v>14</v>
      </c>
      <c r="B10" s="7" t="s">
        <v>15</v>
      </c>
    </row>
    <row r="11" spans="1:2" ht="25.5" customHeight="1" x14ac:dyDescent="0.3">
      <c r="A11" s="6" t="s">
        <v>16</v>
      </c>
      <c r="B11" s="7" t="s">
        <v>17</v>
      </c>
    </row>
    <row r="12" spans="1:2" ht="37.5" customHeight="1" x14ac:dyDescent="0.3">
      <c r="A12" s="6" t="s">
        <v>18</v>
      </c>
      <c r="B12" s="7" t="s">
        <v>19</v>
      </c>
    </row>
    <row r="13" spans="1:2" ht="25.5" customHeight="1" x14ac:dyDescent="0.3"/>
    <row r="14" spans="1:2" ht="25.5" customHeight="1" x14ac:dyDescent="0.3">
      <c r="A14" s="8" t="s">
        <v>20</v>
      </c>
    </row>
    <row r="15" spans="1:2" ht="25.5" customHeight="1" x14ac:dyDescent="0.3">
      <c r="A15" s="6" t="s">
        <v>21</v>
      </c>
      <c r="B15" s="7" t="s">
        <v>22</v>
      </c>
    </row>
    <row r="16" spans="1:2" ht="25.5" customHeight="1" x14ac:dyDescent="0.3">
      <c r="A16" s="6" t="s">
        <v>23</v>
      </c>
      <c r="B16" s="7" t="s">
        <v>24</v>
      </c>
    </row>
    <row r="17" spans="1:2" ht="25.5" customHeight="1" x14ac:dyDescent="0.3">
      <c r="A17" s="6" t="s">
        <v>25</v>
      </c>
      <c r="B17" s="7" t="s">
        <v>26</v>
      </c>
    </row>
    <row r="18" spans="1:2" ht="25.5" customHeight="1" x14ac:dyDescent="0.3">
      <c r="A18" s="6" t="s">
        <v>27</v>
      </c>
      <c r="B18" s="7" t="s">
        <v>28</v>
      </c>
    </row>
    <row r="19" spans="1:2" ht="25.5" customHeight="1" x14ac:dyDescent="0.3">
      <c r="A19" s="6" t="s">
        <v>29</v>
      </c>
      <c r="B19" s="7" t="s">
        <v>30</v>
      </c>
    </row>
    <row r="20" spans="1:2" ht="25.5" customHeight="1" x14ac:dyDescent="0.3">
      <c r="A20" s="6" t="s">
        <v>31</v>
      </c>
      <c r="B20" s="7" t="s">
        <v>32</v>
      </c>
    </row>
    <row r="21" spans="1:2" ht="25.5" customHeight="1" x14ac:dyDescent="0.3">
      <c r="A21" s="6" t="s">
        <v>33</v>
      </c>
      <c r="B21" s="7" t="s">
        <v>34</v>
      </c>
    </row>
    <row r="22" spans="1:2" ht="25.5" customHeight="1" x14ac:dyDescent="0.3">
      <c r="A22" s="6" t="s">
        <v>35</v>
      </c>
      <c r="B22" s="7" t="s">
        <v>36</v>
      </c>
    </row>
    <row r="23" spans="1:2" ht="25.5" customHeight="1" x14ac:dyDescent="0.3">
      <c r="A23" s="6" t="s">
        <v>37</v>
      </c>
      <c r="B23" s="7" t="s">
        <v>38</v>
      </c>
    </row>
    <row r="24" spans="1:2" ht="37.5" customHeight="1" x14ac:dyDescent="0.3">
      <c r="A24" s="6" t="s">
        <v>39</v>
      </c>
      <c r="B24" s="7" t="s">
        <v>40</v>
      </c>
    </row>
    <row r="25" spans="1:2" ht="25.5" customHeight="1" x14ac:dyDescent="0.3"/>
    <row r="26" spans="1:2" ht="25.5" customHeight="1" x14ac:dyDescent="0.3">
      <c r="A26" s="8" t="s">
        <v>41</v>
      </c>
    </row>
    <row r="27" spans="1:2" ht="37.5" customHeight="1" x14ac:dyDescent="0.3">
      <c r="A27" s="6" t="s">
        <v>42</v>
      </c>
      <c r="B27" s="7" t="s">
        <v>43</v>
      </c>
    </row>
    <row r="28" spans="1:2" ht="25.5" customHeight="1" x14ac:dyDescent="0.3">
      <c r="A28" s="6" t="s">
        <v>44</v>
      </c>
      <c r="B28" s="7" t="s">
        <v>45</v>
      </c>
    </row>
    <row r="29" spans="1:2" ht="37.5" customHeight="1" x14ac:dyDescent="0.3">
      <c r="A29" s="6" t="s">
        <v>46</v>
      </c>
      <c r="B29" s="7" t="s">
        <v>47</v>
      </c>
    </row>
    <row r="30" spans="1:2" ht="25.5" customHeight="1" x14ac:dyDescent="0.3">
      <c r="A30" s="6" t="s">
        <v>48</v>
      </c>
      <c r="B30" s="7" t="s">
        <v>49</v>
      </c>
    </row>
    <row r="31" spans="1:2" ht="37.5" customHeight="1" x14ac:dyDescent="0.3">
      <c r="A31" s="6" t="s">
        <v>50</v>
      </c>
      <c r="B31" s="7" t="s">
        <v>51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8"/>
  <sheetViews>
    <sheetView topLeftCell="A25" zoomScale="90" zoomScaleNormal="90" workbookViewId="0">
      <selection activeCell="A35" sqref="A35"/>
    </sheetView>
  </sheetViews>
  <sheetFormatPr defaultColWidth="8.6640625" defaultRowHeight="14.4" x14ac:dyDescent="0.3"/>
  <cols>
    <col min="1" max="1" width="42" customWidth="1"/>
    <col min="2" max="2" width="18" customWidth="1"/>
    <col min="3" max="3" width="60" customWidth="1"/>
    <col min="4" max="4" width="22" customWidth="1"/>
  </cols>
  <sheetData>
    <row r="1" spans="1:4" ht="30" customHeight="1" x14ac:dyDescent="0.3">
      <c r="A1" s="4" t="s">
        <v>21</v>
      </c>
    </row>
    <row r="2" spans="1:4" ht="51.75" customHeight="1" x14ac:dyDescent="0.3">
      <c r="A2" s="5" t="s">
        <v>52</v>
      </c>
    </row>
    <row r="3" spans="1:4" ht="25.5" customHeight="1" x14ac:dyDescent="0.3"/>
    <row r="4" spans="1:4" ht="25.5" customHeight="1" x14ac:dyDescent="0.3">
      <c r="A4" s="8" t="s">
        <v>53</v>
      </c>
    </row>
    <row r="5" spans="1:4" ht="25.5" customHeight="1" x14ac:dyDescent="0.3">
      <c r="A5" s="9" t="s">
        <v>54</v>
      </c>
      <c r="B5" s="9" t="s">
        <v>55</v>
      </c>
      <c r="C5" s="9" t="s">
        <v>56</v>
      </c>
      <c r="D5" s="9" t="s">
        <v>57</v>
      </c>
    </row>
    <row r="6" spans="1:4" ht="25.5" customHeight="1" x14ac:dyDescent="0.3">
      <c r="A6" s="7" t="s">
        <v>58</v>
      </c>
      <c r="B6" s="7" t="s">
        <v>59</v>
      </c>
      <c r="C6" s="7" t="s">
        <v>60</v>
      </c>
      <c r="D6" s="7" t="s">
        <v>61</v>
      </c>
    </row>
    <row r="7" spans="1:4" ht="25.5" customHeight="1" x14ac:dyDescent="0.3">
      <c r="A7" s="7" t="s">
        <v>62</v>
      </c>
      <c r="B7" s="7" t="s">
        <v>59</v>
      </c>
      <c r="C7" s="7" t="s">
        <v>63</v>
      </c>
      <c r="D7" s="7" t="s">
        <v>64</v>
      </c>
    </row>
    <row r="8" spans="1:4" ht="25.5" customHeight="1" x14ac:dyDescent="0.3">
      <c r="A8" s="7" t="s">
        <v>65</v>
      </c>
      <c r="B8" s="7" t="s">
        <v>59</v>
      </c>
      <c r="C8" s="7" t="s">
        <v>66</v>
      </c>
      <c r="D8" s="7" t="s">
        <v>67</v>
      </c>
    </row>
    <row r="9" spans="1:4" ht="25.5" customHeight="1" x14ac:dyDescent="0.3">
      <c r="A9" s="7" t="s">
        <v>68</v>
      </c>
      <c r="B9" s="7" t="s">
        <v>59</v>
      </c>
      <c r="C9" s="7" t="s">
        <v>69</v>
      </c>
      <c r="D9" s="7" t="s">
        <v>70</v>
      </c>
    </row>
    <row r="10" spans="1:4" ht="25.5" customHeight="1" x14ac:dyDescent="0.3">
      <c r="A10" s="7" t="s">
        <v>71</v>
      </c>
      <c r="B10" s="7" t="s">
        <v>59</v>
      </c>
      <c r="C10" s="7" t="s">
        <v>72</v>
      </c>
      <c r="D10" s="7" t="s">
        <v>73</v>
      </c>
    </row>
    <row r="11" spans="1:4" ht="37.5" customHeight="1" x14ac:dyDescent="0.3">
      <c r="A11" s="7" t="s">
        <v>74</v>
      </c>
      <c r="B11" s="7" t="s">
        <v>59</v>
      </c>
      <c r="C11" s="7" t="s">
        <v>75</v>
      </c>
      <c r="D11" s="7" t="s">
        <v>76</v>
      </c>
    </row>
    <row r="12" spans="1:4" ht="25.5" customHeight="1" x14ac:dyDescent="0.3">
      <c r="A12" s="7" t="s">
        <v>77</v>
      </c>
      <c r="B12" s="7" t="s">
        <v>59</v>
      </c>
      <c r="C12" s="7" t="s">
        <v>78</v>
      </c>
      <c r="D12" s="7" t="s">
        <v>79</v>
      </c>
    </row>
    <row r="13" spans="1:4" ht="25.5" customHeight="1" x14ac:dyDescent="0.3">
      <c r="A13" s="7" t="s">
        <v>80</v>
      </c>
      <c r="B13" s="7" t="s">
        <v>59</v>
      </c>
      <c r="C13" s="7" t="s">
        <v>81</v>
      </c>
      <c r="D13" s="7" t="s">
        <v>82</v>
      </c>
    </row>
    <row r="14" spans="1:4" ht="25.5" customHeight="1" x14ac:dyDescent="0.3">
      <c r="A14" s="7" t="s">
        <v>83</v>
      </c>
      <c r="B14" s="7" t="s">
        <v>59</v>
      </c>
      <c r="C14" s="7" t="s">
        <v>84</v>
      </c>
      <c r="D14" s="7" t="s">
        <v>85</v>
      </c>
    </row>
    <row r="15" spans="1:4" ht="25.5" customHeight="1" x14ac:dyDescent="0.3">
      <c r="A15" s="7" t="s">
        <v>86</v>
      </c>
      <c r="B15" s="7" t="s">
        <v>59</v>
      </c>
      <c r="C15" s="7" t="s">
        <v>87</v>
      </c>
      <c r="D15" s="7" t="s">
        <v>88</v>
      </c>
    </row>
    <row r="16" spans="1:4" ht="37.5" customHeight="1" x14ac:dyDescent="0.3">
      <c r="A16" s="7" t="s">
        <v>89</v>
      </c>
      <c r="B16" s="7" t="s">
        <v>59</v>
      </c>
      <c r="C16" s="7" t="s">
        <v>90</v>
      </c>
      <c r="D16" s="7" t="s">
        <v>91</v>
      </c>
    </row>
    <row r="17" spans="1:4" ht="25.5" customHeight="1" x14ac:dyDescent="0.3">
      <c r="A17" s="7" t="s">
        <v>92</v>
      </c>
      <c r="B17" s="7" t="s">
        <v>59</v>
      </c>
      <c r="C17" s="7" t="s">
        <v>93</v>
      </c>
      <c r="D17" s="7" t="s">
        <v>94</v>
      </c>
    </row>
    <row r="18" spans="1:4" ht="37.5" customHeight="1" x14ac:dyDescent="0.3">
      <c r="A18" s="7" t="s">
        <v>95</v>
      </c>
      <c r="B18" s="7" t="s">
        <v>59</v>
      </c>
      <c r="C18" s="7" t="s">
        <v>96</v>
      </c>
      <c r="D18" s="7" t="s">
        <v>97</v>
      </c>
    </row>
    <row r="19" spans="1:4" ht="37.5" customHeight="1" x14ac:dyDescent="0.3">
      <c r="A19" s="7" t="s">
        <v>98</v>
      </c>
      <c r="B19" s="7" t="s">
        <v>59</v>
      </c>
      <c r="C19" s="7" t="s">
        <v>99</v>
      </c>
      <c r="D19" s="7" t="s">
        <v>100</v>
      </c>
    </row>
    <row r="20" spans="1:4" ht="25.5" customHeight="1" x14ac:dyDescent="0.3">
      <c r="A20" s="7" t="s">
        <v>101</v>
      </c>
      <c r="B20" s="7" t="s">
        <v>59</v>
      </c>
      <c r="C20" s="7" t="s">
        <v>102</v>
      </c>
      <c r="D20" s="7" t="s">
        <v>103</v>
      </c>
    </row>
    <row r="21" spans="1:4" ht="37.5" customHeight="1" x14ac:dyDescent="0.3">
      <c r="A21" s="7" t="s">
        <v>104</v>
      </c>
      <c r="B21" s="7" t="s">
        <v>105</v>
      </c>
      <c r="C21" s="7" t="s">
        <v>106</v>
      </c>
      <c r="D21" s="7" t="s">
        <v>107</v>
      </c>
    </row>
    <row r="22" spans="1:4" ht="37.5" customHeight="1" x14ac:dyDescent="0.3">
      <c r="A22" s="7" t="s">
        <v>108</v>
      </c>
      <c r="B22" s="7" t="s">
        <v>109</v>
      </c>
      <c r="C22" s="7" t="s">
        <v>110</v>
      </c>
      <c r="D22" s="7" t="s">
        <v>111</v>
      </c>
    </row>
    <row r="23" spans="1:4" ht="25.5" customHeight="1" x14ac:dyDescent="0.3"/>
    <row r="24" spans="1:4" ht="25.5" customHeight="1" x14ac:dyDescent="0.3">
      <c r="A24" s="8" t="s">
        <v>112</v>
      </c>
    </row>
    <row r="25" spans="1:4" ht="25.5" customHeight="1" x14ac:dyDescent="0.3">
      <c r="A25" s="9" t="s">
        <v>54</v>
      </c>
      <c r="B25" s="9" t="s">
        <v>56</v>
      </c>
    </row>
    <row r="26" spans="1:4" ht="15" customHeight="1" x14ac:dyDescent="0.3">
      <c r="A26" s="7" t="s">
        <v>113</v>
      </c>
      <c r="B26" s="3" t="s">
        <v>114</v>
      </c>
      <c r="C26" s="3"/>
      <c r="D26" s="3"/>
    </row>
    <row r="27" spans="1:4" ht="15" customHeight="1" x14ac:dyDescent="0.3">
      <c r="A27" s="7" t="s">
        <v>115</v>
      </c>
      <c r="B27" s="3" t="s">
        <v>116</v>
      </c>
      <c r="C27" s="3"/>
      <c r="D27" s="3"/>
    </row>
    <row r="28" spans="1:4" ht="15" customHeight="1" x14ac:dyDescent="0.3">
      <c r="A28" s="7" t="s">
        <v>117</v>
      </c>
      <c r="B28" s="3" t="s">
        <v>118</v>
      </c>
      <c r="C28" s="3"/>
      <c r="D28" s="3"/>
    </row>
    <row r="29" spans="1:4" ht="15" customHeight="1" x14ac:dyDescent="0.3">
      <c r="A29" s="7" t="s">
        <v>119</v>
      </c>
      <c r="B29" s="3" t="s">
        <v>120</v>
      </c>
      <c r="C29" s="3"/>
      <c r="D29" s="3"/>
    </row>
    <row r="30" spans="1:4" ht="15" customHeight="1" x14ac:dyDescent="0.3">
      <c r="A30" s="7" t="s">
        <v>121</v>
      </c>
      <c r="B30" s="3" t="s">
        <v>122</v>
      </c>
      <c r="C30" s="3"/>
      <c r="D30" s="3"/>
    </row>
    <row r="31" spans="1:4" ht="15" customHeight="1" x14ac:dyDescent="0.3">
      <c r="A31" s="7" t="s">
        <v>123</v>
      </c>
      <c r="B31" s="3" t="s">
        <v>124</v>
      </c>
      <c r="C31" s="3"/>
      <c r="D31" s="3"/>
    </row>
    <row r="32" spans="1:4" ht="15" customHeight="1" x14ac:dyDescent="0.3">
      <c r="A32" s="7" t="s">
        <v>125</v>
      </c>
      <c r="B32" s="3" t="s">
        <v>126</v>
      </c>
      <c r="C32" s="3"/>
      <c r="D32" s="3"/>
    </row>
    <row r="33" spans="1:4" ht="15" customHeight="1" x14ac:dyDescent="0.3">
      <c r="A33" s="7" t="s">
        <v>127</v>
      </c>
      <c r="B33" s="3" t="s">
        <v>128</v>
      </c>
      <c r="C33" s="3"/>
      <c r="D33" s="3"/>
    </row>
    <row r="34" spans="1:4" ht="36" customHeight="1" x14ac:dyDescent="0.3">
      <c r="A34" s="7" t="s">
        <v>129</v>
      </c>
      <c r="B34" s="3" t="s">
        <v>130</v>
      </c>
      <c r="C34" s="3"/>
      <c r="D34" s="3"/>
    </row>
    <row r="35" spans="1:4" ht="25.5" customHeight="1" x14ac:dyDescent="0.3"/>
    <row r="36" spans="1:4" ht="25.5" customHeight="1" x14ac:dyDescent="0.3">
      <c r="A36" s="8" t="s">
        <v>131</v>
      </c>
    </row>
    <row r="37" spans="1:4" ht="15" customHeight="1" x14ac:dyDescent="0.3">
      <c r="A37" s="6" t="s">
        <v>132</v>
      </c>
      <c r="B37" s="3" t="s">
        <v>133</v>
      </c>
      <c r="C37" s="3"/>
      <c r="D37" s="3"/>
    </row>
    <row r="38" spans="1:4" ht="15" customHeight="1" x14ac:dyDescent="0.3">
      <c r="A38" s="6" t="s">
        <v>134</v>
      </c>
      <c r="B38" s="3" t="s">
        <v>135</v>
      </c>
      <c r="C38" s="3"/>
      <c r="D38" s="3"/>
    </row>
  </sheetData>
  <mergeCells count="11">
    <mergeCell ref="B38:D38"/>
    <mergeCell ref="B31:D31"/>
    <mergeCell ref="B32:D32"/>
    <mergeCell ref="B33:D33"/>
    <mergeCell ref="B34:D34"/>
    <mergeCell ref="B37:D37"/>
    <mergeCell ref="B26:D26"/>
    <mergeCell ref="B27:D27"/>
    <mergeCell ref="B28:D28"/>
    <mergeCell ref="B29:D29"/>
    <mergeCell ref="B30:D3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0"/>
  <sheetViews>
    <sheetView zoomScale="90" zoomScaleNormal="90" workbookViewId="0">
      <pane ySplit="1" topLeftCell="A2" activePane="bottomLeft" state="frozen"/>
      <selection pane="bottomLeft"/>
    </sheetView>
  </sheetViews>
  <sheetFormatPr defaultColWidth="8.6640625" defaultRowHeight="14.4" x14ac:dyDescent="0.3"/>
  <cols>
    <col min="1" max="1" width="13" customWidth="1"/>
    <col min="2" max="2" width="42" customWidth="1"/>
    <col min="3" max="3" width="16" customWidth="1"/>
    <col min="4" max="4" width="70" customWidth="1"/>
    <col min="5" max="5" width="15" customWidth="1"/>
    <col min="6" max="6" width="10" customWidth="1"/>
  </cols>
  <sheetData>
    <row r="1" spans="1:6" ht="37.5" customHeight="1" x14ac:dyDescent="0.3">
      <c r="A1" s="9" t="s">
        <v>136</v>
      </c>
      <c r="B1" s="9" t="s">
        <v>57</v>
      </c>
      <c r="C1" s="9" t="s">
        <v>137</v>
      </c>
      <c r="D1" s="9" t="s">
        <v>138</v>
      </c>
      <c r="E1" s="9" t="s">
        <v>48</v>
      </c>
      <c r="F1" s="9" t="s">
        <v>139</v>
      </c>
    </row>
    <row r="2" spans="1:6" ht="37.5" customHeight="1" x14ac:dyDescent="0.3">
      <c r="A2" s="7" t="s">
        <v>61</v>
      </c>
      <c r="B2" s="7" t="s">
        <v>58</v>
      </c>
      <c r="C2" s="7" t="s">
        <v>140</v>
      </c>
      <c r="D2" s="7" t="s">
        <v>141</v>
      </c>
      <c r="E2" s="7" t="s">
        <v>142</v>
      </c>
      <c r="F2" s="7">
        <f>COUNTIF('Test Cases'!$J$2:$J$500,A2)</f>
        <v>16</v>
      </c>
    </row>
    <row r="3" spans="1:6" ht="37.5" customHeight="1" x14ac:dyDescent="0.3">
      <c r="A3" s="10" t="s">
        <v>64</v>
      </c>
      <c r="B3" s="10" t="s">
        <v>58</v>
      </c>
      <c r="C3" s="10" t="s">
        <v>143</v>
      </c>
      <c r="D3" s="10" t="s">
        <v>144</v>
      </c>
      <c r="E3" s="10" t="s">
        <v>142</v>
      </c>
      <c r="F3" s="10">
        <f>COUNTIF('Test Cases'!$J$2:$J$500,A3)</f>
        <v>2</v>
      </c>
    </row>
    <row r="4" spans="1:6" ht="37.5" customHeight="1" x14ac:dyDescent="0.3">
      <c r="A4" s="7" t="s">
        <v>67</v>
      </c>
      <c r="B4" s="7" t="s">
        <v>145</v>
      </c>
      <c r="C4" s="7" t="s">
        <v>140</v>
      </c>
      <c r="D4" s="7" t="s">
        <v>146</v>
      </c>
      <c r="E4" s="7" t="s">
        <v>147</v>
      </c>
      <c r="F4" s="7">
        <f>COUNTIF('Test Cases'!$J$2:$J$500,A4)</f>
        <v>4</v>
      </c>
    </row>
    <row r="5" spans="1:6" ht="25.5" customHeight="1" x14ac:dyDescent="0.3">
      <c r="A5" s="10" t="s">
        <v>70</v>
      </c>
      <c r="B5" s="10" t="s">
        <v>145</v>
      </c>
      <c r="C5" s="10" t="s">
        <v>143</v>
      </c>
      <c r="D5" s="10" t="s">
        <v>148</v>
      </c>
      <c r="E5" s="10" t="s">
        <v>147</v>
      </c>
      <c r="F5" s="10">
        <f>COUNTIF('Test Cases'!$J$2:$J$500,A5)</f>
        <v>2</v>
      </c>
    </row>
    <row r="6" spans="1:6" ht="25.5" customHeight="1" x14ac:dyDescent="0.3">
      <c r="A6" s="7" t="s">
        <v>73</v>
      </c>
      <c r="B6" s="7" t="s">
        <v>65</v>
      </c>
      <c r="C6" s="7" t="s">
        <v>140</v>
      </c>
      <c r="D6" s="7" t="s">
        <v>149</v>
      </c>
      <c r="E6" s="7" t="s">
        <v>147</v>
      </c>
      <c r="F6" s="7">
        <f>COUNTIF('Test Cases'!$J$2:$J$500,A6)</f>
        <v>4</v>
      </c>
    </row>
    <row r="7" spans="1:6" ht="25.5" customHeight="1" x14ac:dyDescent="0.3">
      <c r="A7" s="10" t="s">
        <v>76</v>
      </c>
      <c r="B7" s="10" t="s">
        <v>65</v>
      </c>
      <c r="C7" s="10" t="s">
        <v>143</v>
      </c>
      <c r="D7" s="10" t="s">
        <v>150</v>
      </c>
      <c r="E7" s="10" t="s">
        <v>147</v>
      </c>
      <c r="F7" s="10">
        <f>COUNTIF('Test Cases'!$J$2:$J$500,A7)</f>
        <v>3</v>
      </c>
    </row>
    <row r="8" spans="1:6" ht="37.5" customHeight="1" x14ac:dyDescent="0.3">
      <c r="A8" s="7" t="s">
        <v>79</v>
      </c>
      <c r="B8" s="7" t="s">
        <v>151</v>
      </c>
      <c r="C8" s="7" t="s">
        <v>140</v>
      </c>
      <c r="D8" s="7" t="s">
        <v>152</v>
      </c>
      <c r="E8" s="7" t="s">
        <v>142</v>
      </c>
      <c r="F8" s="7">
        <f>COUNTIF('Test Cases'!$J$2:$J$500,A8)</f>
        <v>12</v>
      </c>
    </row>
    <row r="9" spans="1:6" ht="25.5" customHeight="1" x14ac:dyDescent="0.3">
      <c r="A9" s="10" t="s">
        <v>153</v>
      </c>
      <c r="B9" s="10" t="s">
        <v>151</v>
      </c>
      <c r="C9" s="10" t="s">
        <v>143</v>
      </c>
      <c r="D9" s="10" t="s">
        <v>154</v>
      </c>
      <c r="E9" s="10" t="s">
        <v>155</v>
      </c>
      <c r="F9" s="10">
        <f>COUNTIF('Test Cases'!$J$2:$J$500,A9)</f>
        <v>1</v>
      </c>
    </row>
    <row r="10" spans="1:6" ht="37.5" customHeight="1" x14ac:dyDescent="0.3">
      <c r="A10" s="7" t="s">
        <v>85</v>
      </c>
      <c r="B10" s="7" t="s">
        <v>156</v>
      </c>
      <c r="C10" s="7" t="s">
        <v>140</v>
      </c>
      <c r="D10" s="7" t="s">
        <v>157</v>
      </c>
      <c r="E10" s="7" t="s">
        <v>142</v>
      </c>
      <c r="F10" s="7">
        <f>COUNTIF('Test Cases'!$J$2:$J$500,A10)</f>
        <v>7</v>
      </c>
    </row>
    <row r="11" spans="1:6" ht="37.5" customHeight="1" x14ac:dyDescent="0.3">
      <c r="A11" s="10" t="s">
        <v>158</v>
      </c>
      <c r="B11" s="10" t="s">
        <v>159</v>
      </c>
      <c r="C11" s="10" t="s">
        <v>140</v>
      </c>
      <c r="D11" s="10" t="s">
        <v>160</v>
      </c>
      <c r="E11" s="10" t="s">
        <v>142</v>
      </c>
      <c r="F11" s="10">
        <f>COUNTIF('Test Cases'!$J$2:$J$500,A11)</f>
        <v>29</v>
      </c>
    </row>
    <row r="12" spans="1:6" ht="37.5" customHeight="1" x14ac:dyDescent="0.3">
      <c r="A12" s="7" t="s">
        <v>161</v>
      </c>
      <c r="B12" s="7" t="s">
        <v>77</v>
      </c>
      <c r="C12" s="7" t="s">
        <v>140</v>
      </c>
      <c r="D12" s="7" t="s">
        <v>162</v>
      </c>
      <c r="E12" s="7" t="s">
        <v>142</v>
      </c>
      <c r="F12" s="7">
        <f>COUNTIF('Test Cases'!$J$2:$J$500,A12)</f>
        <v>14</v>
      </c>
    </row>
    <row r="13" spans="1:6" ht="25.5" customHeight="1" x14ac:dyDescent="0.3">
      <c r="A13" s="10" t="s">
        <v>163</v>
      </c>
      <c r="B13" s="10" t="s">
        <v>77</v>
      </c>
      <c r="C13" s="10" t="s">
        <v>143</v>
      </c>
      <c r="D13" s="10" t="s">
        <v>164</v>
      </c>
      <c r="E13" s="10" t="s">
        <v>147</v>
      </c>
      <c r="F13" s="10">
        <f>COUNTIF('Test Cases'!$J$2:$J$500,A13)</f>
        <v>2</v>
      </c>
    </row>
    <row r="14" spans="1:6" ht="37.5" customHeight="1" x14ac:dyDescent="0.3">
      <c r="A14" s="7" t="s">
        <v>91</v>
      </c>
      <c r="B14" s="7" t="s">
        <v>165</v>
      </c>
      <c r="C14" s="7" t="s">
        <v>140</v>
      </c>
      <c r="D14" s="7" t="s">
        <v>166</v>
      </c>
      <c r="E14" s="7" t="s">
        <v>142</v>
      </c>
      <c r="F14" s="7">
        <f>COUNTIF('Test Cases'!$J$2:$J$500,A14)</f>
        <v>15</v>
      </c>
    </row>
    <row r="15" spans="1:6" ht="37.5" customHeight="1" x14ac:dyDescent="0.3">
      <c r="A15" s="10" t="s">
        <v>167</v>
      </c>
      <c r="B15" s="10" t="s">
        <v>165</v>
      </c>
      <c r="C15" s="10" t="s">
        <v>143</v>
      </c>
      <c r="D15" s="10" t="s">
        <v>168</v>
      </c>
      <c r="E15" s="10" t="s">
        <v>142</v>
      </c>
      <c r="F15" s="10">
        <f>COUNTIF('Test Cases'!$J$2:$J$500,A15)</f>
        <v>4</v>
      </c>
    </row>
    <row r="16" spans="1:6" ht="25.5" customHeight="1" x14ac:dyDescent="0.3">
      <c r="A16" s="7" t="s">
        <v>107</v>
      </c>
      <c r="B16" s="7" t="s">
        <v>83</v>
      </c>
      <c r="C16" s="7" t="s">
        <v>140</v>
      </c>
      <c r="D16" s="7" t="s">
        <v>169</v>
      </c>
      <c r="E16" s="7" t="s">
        <v>147</v>
      </c>
      <c r="F16" s="7">
        <f>COUNTIF('Test Cases'!$J$2:$J$500,A16)</f>
        <v>3</v>
      </c>
    </row>
    <row r="17" spans="1:6" ht="25.5" customHeight="1" x14ac:dyDescent="0.3">
      <c r="A17" s="10" t="s">
        <v>170</v>
      </c>
      <c r="B17" s="10" t="s">
        <v>83</v>
      </c>
      <c r="C17" s="10" t="s">
        <v>143</v>
      </c>
      <c r="D17" s="10" t="s">
        <v>171</v>
      </c>
      <c r="E17" s="10" t="s">
        <v>147</v>
      </c>
      <c r="F17" s="10">
        <f>COUNTIF('Test Cases'!$J$2:$J$500,A17)</f>
        <v>6</v>
      </c>
    </row>
    <row r="18" spans="1:6" ht="37.5" customHeight="1" x14ac:dyDescent="0.3">
      <c r="A18" s="7" t="s">
        <v>172</v>
      </c>
      <c r="B18" s="7" t="s">
        <v>173</v>
      </c>
      <c r="C18" s="7" t="s">
        <v>140</v>
      </c>
      <c r="D18" s="7" t="s">
        <v>174</v>
      </c>
      <c r="E18" s="7" t="s">
        <v>142</v>
      </c>
      <c r="F18" s="7">
        <f>COUNTIF('Test Cases'!$J$2:$J$500,A18)</f>
        <v>10</v>
      </c>
    </row>
    <row r="19" spans="1:6" ht="37.5" customHeight="1" x14ac:dyDescent="0.3">
      <c r="A19" s="10" t="s">
        <v>175</v>
      </c>
      <c r="B19" s="10" t="s">
        <v>176</v>
      </c>
      <c r="C19" s="10" t="s">
        <v>177</v>
      </c>
      <c r="D19" s="10" t="s">
        <v>178</v>
      </c>
      <c r="E19" s="10" t="s">
        <v>142</v>
      </c>
      <c r="F19" s="10">
        <f>COUNTIF('Test Cases'!$J$2:$J$500,A19)</f>
        <v>21</v>
      </c>
    </row>
    <row r="20" spans="1:6" ht="25.5" customHeight="1" x14ac:dyDescent="0.3">
      <c r="A20" s="7" t="s">
        <v>179</v>
      </c>
      <c r="B20" s="7" t="s">
        <v>180</v>
      </c>
      <c r="C20" s="7" t="s">
        <v>177</v>
      </c>
      <c r="D20" s="7" t="s">
        <v>181</v>
      </c>
      <c r="E20" s="7" t="s">
        <v>147</v>
      </c>
      <c r="F20" s="7">
        <f>COUNTIF('Test Cases'!$J$2:$J$500,A20)</f>
        <v>5</v>
      </c>
    </row>
    <row r="21" spans="1:6" ht="37.5" customHeight="1" x14ac:dyDescent="0.3">
      <c r="A21" s="10" t="s">
        <v>182</v>
      </c>
      <c r="B21" s="10" t="s">
        <v>183</v>
      </c>
      <c r="C21" s="10" t="s">
        <v>143</v>
      </c>
      <c r="D21" s="10" t="s">
        <v>184</v>
      </c>
      <c r="E21" s="10" t="s">
        <v>147</v>
      </c>
      <c r="F21" s="10">
        <f>COUNTIF('Test Cases'!$J$2:$J$500,A21)</f>
        <v>17</v>
      </c>
    </row>
    <row r="22" spans="1:6" ht="37.5" customHeight="1" x14ac:dyDescent="0.3">
      <c r="A22" s="7" t="s">
        <v>185</v>
      </c>
      <c r="B22" s="7" t="s">
        <v>186</v>
      </c>
      <c r="C22" s="7" t="s">
        <v>143</v>
      </c>
      <c r="D22" s="7" t="s">
        <v>187</v>
      </c>
      <c r="E22" s="7" t="s">
        <v>147</v>
      </c>
      <c r="F22" s="7">
        <f>COUNTIF('Test Cases'!$J$2:$J$500,A22)</f>
        <v>4</v>
      </c>
    </row>
    <row r="23" spans="1:6" ht="37.5" customHeight="1" x14ac:dyDescent="0.3">
      <c r="A23" s="10" t="s">
        <v>188</v>
      </c>
      <c r="B23" s="10" t="s">
        <v>189</v>
      </c>
      <c r="C23" s="10" t="s">
        <v>140</v>
      </c>
      <c r="D23" s="10" t="s">
        <v>190</v>
      </c>
      <c r="E23" s="10" t="s">
        <v>142</v>
      </c>
      <c r="F23" s="10">
        <f>COUNTIF('Test Cases'!$J$2:$J$500,A23)</f>
        <v>2</v>
      </c>
    </row>
    <row r="24" spans="1:6" ht="37.5" customHeight="1" x14ac:dyDescent="0.3">
      <c r="A24" s="7" t="s">
        <v>191</v>
      </c>
      <c r="B24" s="7" t="s">
        <v>189</v>
      </c>
      <c r="C24" s="7" t="s">
        <v>143</v>
      </c>
      <c r="D24" s="7" t="s">
        <v>192</v>
      </c>
      <c r="E24" s="7" t="s">
        <v>142</v>
      </c>
      <c r="F24" s="7">
        <f>COUNTIF('Test Cases'!$J$2:$J$500,A24)</f>
        <v>7</v>
      </c>
    </row>
    <row r="25" spans="1:6" ht="25.5" customHeight="1" x14ac:dyDescent="0.3">
      <c r="A25" s="10" t="s">
        <v>94</v>
      </c>
      <c r="B25" s="10" t="s">
        <v>193</v>
      </c>
      <c r="C25" s="10" t="s">
        <v>140</v>
      </c>
      <c r="D25" s="10" t="s">
        <v>194</v>
      </c>
      <c r="E25" s="10" t="s">
        <v>155</v>
      </c>
      <c r="F25" s="10">
        <f>COUNTIF('Test Cases'!$J$2:$J$500,A25)</f>
        <v>3</v>
      </c>
    </row>
    <row r="26" spans="1:6" ht="37.5" customHeight="1" x14ac:dyDescent="0.3">
      <c r="A26" s="7" t="s">
        <v>103</v>
      </c>
      <c r="B26" s="7" t="s">
        <v>101</v>
      </c>
      <c r="C26" s="7" t="s">
        <v>195</v>
      </c>
      <c r="D26" s="7" t="s">
        <v>196</v>
      </c>
      <c r="E26" s="7" t="s">
        <v>142</v>
      </c>
      <c r="F26" s="7">
        <f>COUNTIF('Test Cases'!$J$2:$J$500,A26)</f>
        <v>5</v>
      </c>
    </row>
    <row r="27" spans="1:6" ht="25.5" customHeight="1" x14ac:dyDescent="0.3">
      <c r="A27" s="10" t="s">
        <v>197</v>
      </c>
      <c r="B27" s="10" t="s">
        <v>104</v>
      </c>
      <c r="C27" s="10" t="s">
        <v>140</v>
      </c>
      <c r="D27" s="10" t="s">
        <v>198</v>
      </c>
      <c r="E27" s="10" t="s">
        <v>147</v>
      </c>
      <c r="F27" s="10">
        <f>COUNTIF('Test Cases'!$J$2:$J$500,A27)</f>
        <v>2</v>
      </c>
    </row>
    <row r="28" spans="1:6" ht="37.5" customHeight="1" x14ac:dyDescent="0.3">
      <c r="A28" s="7" t="s">
        <v>199</v>
      </c>
      <c r="B28" s="7" t="s">
        <v>200</v>
      </c>
      <c r="C28" s="7" t="s">
        <v>143</v>
      </c>
      <c r="D28" s="7" t="s">
        <v>201</v>
      </c>
      <c r="E28" s="7" t="s">
        <v>142</v>
      </c>
      <c r="F28" s="7">
        <f>COUNTIF('Test Cases'!$J$2:$J$500,A28)</f>
        <v>13</v>
      </c>
    </row>
    <row r="29" spans="1:6" ht="37.5" customHeight="1" x14ac:dyDescent="0.3">
      <c r="A29" s="10" t="s">
        <v>202</v>
      </c>
      <c r="B29" s="10" t="s">
        <v>203</v>
      </c>
      <c r="C29" s="10" t="s">
        <v>143</v>
      </c>
      <c r="D29" s="10" t="s">
        <v>204</v>
      </c>
      <c r="E29" s="10" t="s">
        <v>147</v>
      </c>
      <c r="F29" s="10">
        <f>COUNTIF('Test Cases'!$J$2:$J$500,A29)</f>
        <v>6</v>
      </c>
    </row>
    <row r="30" spans="1:6" ht="37.5" customHeight="1" x14ac:dyDescent="0.3">
      <c r="A30" s="7" t="s">
        <v>100</v>
      </c>
      <c r="B30" s="7" t="s">
        <v>98</v>
      </c>
      <c r="C30" s="7" t="s">
        <v>143</v>
      </c>
      <c r="D30" s="7" t="s">
        <v>205</v>
      </c>
      <c r="E30" s="7" t="s">
        <v>147</v>
      </c>
      <c r="F30" s="7">
        <f>COUNTIF('Test Cases'!$J$2:$J$500,A30)</f>
        <v>9</v>
      </c>
    </row>
  </sheetData>
  <autoFilter ref="A1:F30"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42B58"/>
  </sheetPr>
  <dimension ref="A1:Q229"/>
  <sheetViews>
    <sheetView zoomScale="90" zoomScaleNormal="90" workbookViewId="0">
      <pane xSplit="2" ySplit="1" topLeftCell="L49" activePane="bottomRight" state="frozen"/>
      <selection pane="topRight" activeCell="C1" sqref="C1"/>
      <selection pane="bottomLeft" activeCell="A2" sqref="A2"/>
      <selection pane="bottomRight" activeCell="P16" sqref="P16"/>
    </sheetView>
  </sheetViews>
  <sheetFormatPr defaultColWidth="8.6640625" defaultRowHeight="14.4" x14ac:dyDescent="0.3"/>
  <cols>
    <col min="1" max="1" width="20" customWidth="1"/>
    <col min="2" max="2" width="42" customWidth="1"/>
    <col min="3" max="3" width="26" customWidth="1"/>
    <col min="4" max="4" width="13" customWidth="1"/>
    <col min="5" max="5" width="18" customWidth="1"/>
    <col min="6" max="6" width="45" customWidth="1"/>
    <col min="7" max="7" width="48" customWidth="1"/>
    <col min="8" max="8" width="32" customWidth="1"/>
    <col min="9" max="9" width="52" customWidth="1"/>
    <col min="10" max="10" width="12" customWidth="1"/>
    <col min="11" max="11" width="48" customWidth="1"/>
    <col min="12" max="12" width="11" customWidth="1"/>
    <col min="13" max="14" width="13" customWidth="1"/>
    <col min="15" max="15" width="55" customWidth="1"/>
    <col min="16" max="16" width="14" customWidth="1"/>
    <col min="17" max="17" width="24" customWidth="1"/>
  </cols>
  <sheetData>
    <row r="1" spans="1:17" ht="37.5" customHeight="1" x14ac:dyDescent="0.3">
      <c r="A1" s="9" t="s">
        <v>206</v>
      </c>
      <c r="B1" s="9" t="s">
        <v>207</v>
      </c>
      <c r="C1" s="9" t="s">
        <v>208</v>
      </c>
      <c r="D1" s="9" t="s">
        <v>48</v>
      </c>
      <c r="E1" s="9" t="s">
        <v>209</v>
      </c>
      <c r="F1" s="9" t="s">
        <v>210</v>
      </c>
      <c r="G1" s="9" t="s">
        <v>211</v>
      </c>
      <c r="H1" s="9" t="s">
        <v>212</v>
      </c>
      <c r="I1" s="9" t="s">
        <v>213</v>
      </c>
      <c r="J1" s="9" t="s">
        <v>136</v>
      </c>
      <c r="K1" s="9" t="s">
        <v>214</v>
      </c>
      <c r="L1" s="9" t="s">
        <v>42</v>
      </c>
      <c r="M1" s="9" t="s">
        <v>44</v>
      </c>
      <c r="N1" s="9" t="s">
        <v>46</v>
      </c>
      <c r="O1" s="9" t="s">
        <v>215</v>
      </c>
      <c r="P1" s="9" t="s">
        <v>216</v>
      </c>
      <c r="Q1" s="9" t="s">
        <v>217</v>
      </c>
    </row>
    <row r="2" spans="1:17" ht="160.5" customHeight="1" x14ac:dyDescent="0.3">
      <c r="A2" s="11" t="s">
        <v>218</v>
      </c>
      <c r="B2" s="7" t="s">
        <v>219</v>
      </c>
      <c r="C2" s="7" t="s">
        <v>220</v>
      </c>
      <c r="D2" s="12" t="s">
        <v>142</v>
      </c>
      <c r="E2" s="7" t="s">
        <v>221</v>
      </c>
      <c r="F2" s="7" t="s">
        <v>222</v>
      </c>
      <c r="G2" s="7" t="s">
        <v>223</v>
      </c>
      <c r="H2" s="7" t="s">
        <v>224</v>
      </c>
      <c r="I2" s="7" t="s">
        <v>225</v>
      </c>
      <c r="J2" s="12" t="s">
        <v>61</v>
      </c>
      <c r="K2" s="7" t="s">
        <v>226</v>
      </c>
      <c r="L2" s="12" t="s">
        <v>227</v>
      </c>
      <c r="M2" s="12" t="s">
        <v>228</v>
      </c>
      <c r="N2" s="12" t="s">
        <v>229</v>
      </c>
      <c r="O2" s="7" t="s">
        <v>230</v>
      </c>
      <c r="P2" s="7" t="s">
        <v>231</v>
      </c>
      <c r="Q2" s="7" t="s">
        <v>232</v>
      </c>
    </row>
    <row r="3" spans="1:17" ht="120" customHeight="1" x14ac:dyDescent="0.3">
      <c r="A3" s="13" t="s">
        <v>233</v>
      </c>
      <c r="B3" s="10" t="s">
        <v>234</v>
      </c>
      <c r="C3" s="10" t="s">
        <v>235</v>
      </c>
      <c r="D3" s="14" t="s">
        <v>155</v>
      </c>
      <c r="E3" s="10" t="s">
        <v>236</v>
      </c>
      <c r="F3" s="10" t="s">
        <v>237</v>
      </c>
      <c r="G3" s="10" t="s">
        <v>238</v>
      </c>
      <c r="H3" s="10" t="s">
        <v>239</v>
      </c>
      <c r="I3" s="10" t="s">
        <v>240</v>
      </c>
      <c r="J3" s="14" t="s">
        <v>61</v>
      </c>
      <c r="K3" s="10" t="s">
        <v>241</v>
      </c>
      <c r="L3" s="14" t="s">
        <v>227</v>
      </c>
      <c r="M3" s="14" t="s">
        <v>228</v>
      </c>
      <c r="N3" s="14" t="s">
        <v>229</v>
      </c>
      <c r="O3" s="10" t="s">
        <v>230</v>
      </c>
      <c r="P3" s="10" t="s">
        <v>231</v>
      </c>
      <c r="Q3" s="10" t="s">
        <v>232</v>
      </c>
    </row>
    <row r="4" spans="1:17" ht="105.75" customHeight="1" x14ac:dyDescent="0.3">
      <c r="A4" s="11" t="s">
        <v>242</v>
      </c>
      <c r="B4" s="7" t="s">
        <v>243</v>
      </c>
      <c r="C4" s="7" t="s">
        <v>244</v>
      </c>
      <c r="D4" s="12" t="s">
        <v>155</v>
      </c>
      <c r="E4" s="7" t="s">
        <v>236</v>
      </c>
      <c r="F4" s="7" t="s">
        <v>245</v>
      </c>
      <c r="G4" s="7" t="s">
        <v>246</v>
      </c>
      <c r="H4" s="7" t="s">
        <v>247</v>
      </c>
      <c r="I4" s="7" t="s">
        <v>248</v>
      </c>
      <c r="J4" s="12" t="s">
        <v>61</v>
      </c>
      <c r="K4" s="7" t="s">
        <v>249</v>
      </c>
      <c r="L4" s="12" t="s">
        <v>250</v>
      </c>
      <c r="M4" s="12" t="s">
        <v>251</v>
      </c>
      <c r="N4" s="12" t="s">
        <v>252</v>
      </c>
      <c r="O4" s="7"/>
      <c r="P4" s="7"/>
      <c r="Q4" s="7"/>
    </row>
    <row r="5" spans="1:17" ht="105.75" customHeight="1" x14ac:dyDescent="0.3">
      <c r="A5" s="13" t="s">
        <v>253</v>
      </c>
      <c r="B5" s="10" t="s">
        <v>254</v>
      </c>
      <c r="C5" s="10" t="s">
        <v>255</v>
      </c>
      <c r="D5" s="14" t="s">
        <v>256</v>
      </c>
      <c r="E5" s="10" t="s">
        <v>236</v>
      </c>
      <c r="F5" s="10" t="s">
        <v>245</v>
      </c>
      <c r="G5" s="10" t="s">
        <v>257</v>
      </c>
      <c r="H5" s="10" t="s">
        <v>258</v>
      </c>
      <c r="I5" s="10" t="s">
        <v>259</v>
      </c>
      <c r="J5" s="14" t="s">
        <v>61</v>
      </c>
      <c r="K5" s="10" t="s">
        <v>260</v>
      </c>
      <c r="L5" s="14" t="s">
        <v>250</v>
      </c>
      <c r="M5" s="14" t="s">
        <v>251</v>
      </c>
      <c r="N5" s="14" t="s">
        <v>252</v>
      </c>
      <c r="O5" s="10"/>
      <c r="P5" s="10"/>
      <c r="Q5" s="10"/>
    </row>
    <row r="6" spans="1:17" ht="105.75" customHeight="1" x14ac:dyDescent="0.3">
      <c r="A6" s="11" t="s">
        <v>261</v>
      </c>
      <c r="B6" s="7" t="s">
        <v>262</v>
      </c>
      <c r="C6" s="7" t="s">
        <v>263</v>
      </c>
      <c r="D6" s="12" t="s">
        <v>147</v>
      </c>
      <c r="E6" s="7" t="s">
        <v>236</v>
      </c>
      <c r="F6" s="7" t="s">
        <v>245</v>
      </c>
      <c r="G6" s="7" t="s">
        <v>264</v>
      </c>
      <c r="H6" s="7" t="s">
        <v>258</v>
      </c>
      <c r="I6" s="7" t="s">
        <v>265</v>
      </c>
      <c r="J6" s="12" t="s">
        <v>61</v>
      </c>
      <c r="K6" s="7" t="s">
        <v>266</v>
      </c>
      <c r="L6" s="12" t="s">
        <v>227</v>
      </c>
      <c r="M6" s="12" t="s">
        <v>251</v>
      </c>
      <c r="N6" s="12" t="s">
        <v>267</v>
      </c>
      <c r="O6" s="7" t="s">
        <v>268</v>
      </c>
      <c r="P6" s="7" t="s">
        <v>231</v>
      </c>
      <c r="Q6" s="7" t="s">
        <v>269</v>
      </c>
    </row>
    <row r="7" spans="1:17" ht="120" customHeight="1" x14ac:dyDescent="0.3">
      <c r="A7" s="13" t="s">
        <v>270</v>
      </c>
      <c r="B7" s="10" t="s">
        <v>271</v>
      </c>
      <c r="C7" s="10" t="s">
        <v>263</v>
      </c>
      <c r="D7" s="14" t="s">
        <v>147</v>
      </c>
      <c r="E7" s="10" t="s">
        <v>236</v>
      </c>
      <c r="F7" s="10" t="s">
        <v>245</v>
      </c>
      <c r="G7" s="10" t="s">
        <v>272</v>
      </c>
      <c r="H7" s="10" t="s">
        <v>273</v>
      </c>
      <c r="I7" s="10" t="s">
        <v>274</v>
      </c>
      <c r="J7" s="14" t="s">
        <v>61</v>
      </c>
      <c r="K7" s="10" t="s">
        <v>275</v>
      </c>
      <c r="L7" s="14" t="s">
        <v>250</v>
      </c>
      <c r="M7" s="14" t="s">
        <v>251</v>
      </c>
      <c r="N7" s="14" t="s">
        <v>267</v>
      </c>
      <c r="O7" s="10"/>
      <c r="P7" s="10"/>
      <c r="Q7" s="10"/>
    </row>
    <row r="8" spans="1:17" ht="105.75" customHeight="1" x14ac:dyDescent="0.3">
      <c r="A8" s="11" t="s">
        <v>276</v>
      </c>
      <c r="B8" s="7" t="s">
        <v>277</v>
      </c>
      <c r="C8" s="7" t="s">
        <v>278</v>
      </c>
      <c r="D8" s="12" t="s">
        <v>155</v>
      </c>
      <c r="E8" s="7" t="s">
        <v>236</v>
      </c>
      <c r="F8" s="7" t="s">
        <v>245</v>
      </c>
      <c r="G8" s="7" t="s">
        <v>279</v>
      </c>
      <c r="H8" s="7" t="s">
        <v>258</v>
      </c>
      <c r="I8" s="7" t="s">
        <v>280</v>
      </c>
      <c r="J8" s="12" t="s">
        <v>61</v>
      </c>
      <c r="K8" s="7" t="s">
        <v>281</v>
      </c>
      <c r="L8" s="12" t="s">
        <v>250</v>
      </c>
      <c r="M8" s="12" t="s">
        <v>251</v>
      </c>
      <c r="N8" s="12" t="s">
        <v>252</v>
      </c>
      <c r="O8" s="7"/>
      <c r="P8" s="7"/>
      <c r="Q8" s="7"/>
    </row>
    <row r="9" spans="1:17" ht="105.75" customHeight="1" x14ac:dyDescent="0.3">
      <c r="A9" s="13" t="s">
        <v>282</v>
      </c>
      <c r="B9" s="10" t="s">
        <v>283</v>
      </c>
      <c r="C9" s="10" t="s">
        <v>284</v>
      </c>
      <c r="D9" s="14" t="s">
        <v>155</v>
      </c>
      <c r="E9" s="10" t="s">
        <v>236</v>
      </c>
      <c r="F9" s="10" t="s">
        <v>245</v>
      </c>
      <c r="G9" s="10" t="s">
        <v>285</v>
      </c>
      <c r="H9" s="10" t="s">
        <v>258</v>
      </c>
      <c r="I9" s="10" t="s">
        <v>286</v>
      </c>
      <c r="J9" s="14" t="s">
        <v>61</v>
      </c>
      <c r="K9" s="10" t="s">
        <v>287</v>
      </c>
      <c r="L9" s="14" t="s">
        <v>250</v>
      </c>
      <c r="M9" s="14" t="s">
        <v>251</v>
      </c>
      <c r="N9" s="14" t="s">
        <v>252</v>
      </c>
      <c r="O9" s="10"/>
      <c r="P9" s="10"/>
      <c r="Q9" s="10"/>
    </row>
    <row r="10" spans="1:17" ht="105.75" customHeight="1" x14ac:dyDescent="0.3">
      <c r="A10" s="11" t="s">
        <v>288</v>
      </c>
      <c r="B10" s="7" t="s">
        <v>289</v>
      </c>
      <c r="C10" s="7" t="s">
        <v>290</v>
      </c>
      <c r="D10" s="12" t="s">
        <v>155</v>
      </c>
      <c r="E10" s="7" t="s">
        <v>236</v>
      </c>
      <c r="F10" s="7" t="s">
        <v>245</v>
      </c>
      <c r="G10" s="7" t="s">
        <v>291</v>
      </c>
      <c r="H10" s="7" t="s">
        <v>258</v>
      </c>
      <c r="I10" s="7" t="s">
        <v>292</v>
      </c>
      <c r="J10" s="12" t="s">
        <v>61</v>
      </c>
      <c r="K10" s="7" t="s">
        <v>293</v>
      </c>
      <c r="L10" s="12" t="s">
        <v>227</v>
      </c>
      <c r="M10" s="12" t="s">
        <v>251</v>
      </c>
      <c r="N10" s="12" t="s">
        <v>252</v>
      </c>
      <c r="O10" s="7" t="s">
        <v>294</v>
      </c>
      <c r="P10" s="7" t="s">
        <v>231</v>
      </c>
      <c r="Q10" s="7" t="s">
        <v>269</v>
      </c>
    </row>
    <row r="11" spans="1:17" ht="105.75" customHeight="1" x14ac:dyDescent="0.3">
      <c r="A11" s="13" t="s">
        <v>295</v>
      </c>
      <c r="B11" s="10" t="s">
        <v>296</v>
      </c>
      <c r="C11" s="10" t="s">
        <v>297</v>
      </c>
      <c r="D11" s="14" t="s">
        <v>256</v>
      </c>
      <c r="E11" s="10" t="s">
        <v>236</v>
      </c>
      <c r="F11" s="10" t="s">
        <v>245</v>
      </c>
      <c r="G11" s="10" t="s">
        <v>298</v>
      </c>
      <c r="H11" s="10" t="s">
        <v>258</v>
      </c>
      <c r="I11" s="10" t="s">
        <v>299</v>
      </c>
      <c r="J11" s="14" t="s">
        <v>61</v>
      </c>
      <c r="K11" s="10" t="s">
        <v>249</v>
      </c>
      <c r="L11" s="14" t="s">
        <v>227</v>
      </c>
      <c r="M11" s="14" t="s">
        <v>251</v>
      </c>
      <c r="N11" s="14" t="s">
        <v>252</v>
      </c>
      <c r="O11" s="10" t="s">
        <v>300</v>
      </c>
      <c r="P11" s="10" t="s">
        <v>231</v>
      </c>
      <c r="Q11" s="10" t="s">
        <v>269</v>
      </c>
    </row>
    <row r="12" spans="1:17" ht="105.75" customHeight="1" x14ac:dyDescent="0.3">
      <c r="A12" s="11" t="s">
        <v>301</v>
      </c>
      <c r="B12" s="7" t="s">
        <v>302</v>
      </c>
      <c r="C12" s="7" t="s">
        <v>303</v>
      </c>
      <c r="D12" s="12" t="s">
        <v>155</v>
      </c>
      <c r="E12" s="7" t="s">
        <v>236</v>
      </c>
      <c r="F12" s="7" t="s">
        <v>245</v>
      </c>
      <c r="G12" s="7" t="s">
        <v>304</v>
      </c>
      <c r="H12" s="7" t="s">
        <v>258</v>
      </c>
      <c r="I12" s="7" t="s">
        <v>305</v>
      </c>
      <c r="J12" s="12" t="s">
        <v>61</v>
      </c>
      <c r="K12" s="7" t="s">
        <v>306</v>
      </c>
      <c r="L12" s="12" t="s">
        <v>250</v>
      </c>
      <c r="M12" s="12" t="s">
        <v>251</v>
      </c>
      <c r="N12" s="12" t="s">
        <v>252</v>
      </c>
      <c r="O12" s="7"/>
      <c r="P12" s="7"/>
      <c r="Q12" s="7"/>
    </row>
    <row r="13" spans="1:17" ht="105.75" customHeight="1" x14ac:dyDescent="0.3">
      <c r="A13" s="13" t="s">
        <v>307</v>
      </c>
      <c r="B13" s="10" t="s">
        <v>308</v>
      </c>
      <c r="C13" s="10" t="s">
        <v>309</v>
      </c>
      <c r="D13" s="14" t="s">
        <v>155</v>
      </c>
      <c r="E13" s="10" t="s">
        <v>236</v>
      </c>
      <c r="F13" s="10" t="s">
        <v>245</v>
      </c>
      <c r="G13" s="10" t="s">
        <v>310</v>
      </c>
      <c r="H13" s="10" t="s">
        <v>258</v>
      </c>
      <c r="I13" s="10" t="s">
        <v>311</v>
      </c>
      <c r="J13" s="14" t="s">
        <v>61</v>
      </c>
      <c r="K13" s="10" t="s">
        <v>312</v>
      </c>
      <c r="L13" s="14" t="s">
        <v>250</v>
      </c>
      <c r="M13" s="14" t="s">
        <v>251</v>
      </c>
      <c r="N13" s="14" t="s">
        <v>252</v>
      </c>
      <c r="O13" s="10"/>
      <c r="P13" s="10"/>
      <c r="Q13" s="10"/>
    </row>
    <row r="14" spans="1:17" ht="105.75" customHeight="1" x14ac:dyDescent="0.3">
      <c r="A14" s="11" t="s">
        <v>313</v>
      </c>
      <c r="B14" s="7" t="s">
        <v>314</v>
      </c>
      <c r="C14" s="7" t="s">
        <v>315</v>
      </c>
      <c r="D14" s="12" t="s">
        <v>155</v>
      </c>
      <c r="E14" s="7" t="s">
        <v>316</v>
      </c>
      <c r="F14" s="7" t="s">
        <v>317</v>
      </c>
      <c r="G14" s="7" t="s">
        <v>318</v>
      </c>
      <c r="H14" s="7" t="s">
        <v>258</v>
      </c>
      <c r="I14" s="7" t="s">
        <v>319</v>
      </c>
      <c r="J14" s="12" t="s">
        <v>61</v>
      </c>
      <c r="K14" s="7" t="s">
        <v>320</v>
      </c>
      <c r="L14" s="12" t="s">
        <v>250</v>
      </c>
      <c r="M14" s="12" t="s">
        <v>251</v>
      </c>
      <c r="N14" s="12" t="s">
        <v>252</v>
      </c>
      <c r="O14" s="7"/>
      <c r="P14" s="7"/>
      <c r="Q14" s="7"/>
    </row>
    <row r="15" spans="1:17" ht="93" customHeight="1" x14ac:dyDescent="0.3">
      <c r="A15" s="13" t="s">
        <v>321</v>
      </c>
      <c r="B15" s="10" t="s">
        <v>322</v>
      </c>
      <c r="C15" s="10" t="s">
        <v>315</v>
      </c>
      <c r="D15" s="14" t="s">
        <v>256</v>
      </c>
      <c r="E15" s="10" t="s">
        <v>236</v>
      </c>
      <c r="F15" s="10" t="s">
        <v>323</v>
      </c>
      <c r="G15" s="10" t="s">
        <v>324</v>
      </c>
      <c r="H15" s="10" t="s">
        <v>258</v>
      </c>
      <c r="I15" s="10" t="s">
        <v>325</v>
      </c>
      <c r="J15" s="14" t="s">
        <v>61</v>
      </c>
      <c r="K15" s="10" t="s">
        <v>326</v>
      </c>
      <c r="L15" s="14" t="s">
        <v>250</v>
      </c>
      <c r="M15" s="14" t="s">
        <v>251</v>
      </c>
      <c r="N15" s="14" t="s">
        <v>252</v>
      </c>
      <c r="O15" s="10"/>
      <c r="P15" s="10"/>
      <c r="Q15" s="10"/>
    </row>
    <row r="16" spans="1:17" ht="105.75" customHeight="1" x14ac:dyDescent="0.3">
      <c r="A16" s="11" t="s">
        <v>327</v>
      </c>
      <c r="B16" s="7" t="s">
        <v>328</v>
      </c>
      <c r="C16" s="7" t="s">
        <v>329</v>
      </c>
      <c r="D16" s="12" t="s">
        <v>155</v>
      </c>
      <c r="E16" s="7" t="s">
        <v>59</v>
      </c>
      <c r="F16" s="7" t="s">
        <v>245</v>
      </c>
      <c r="G16" s="7" t="s">
        <v>330</v>
      </c>
      <c r="H16" s="7" t="s">
        <v>258</v>
      </c>
      <c r="I16" s="7" t="s">
        <v>331</v>
      </c>
      <c r="J16" s="12" t="s">
        <v>61</v>
      </c>
      <c r="K16" s="7" t="s">
        <v>332</v>
      </c>
      <c r="L16" s="12" t="s">
        <v>250</v>
      </c>
      <c r="M16" s="12" t="s">
        <v>251</v>
      </c>
      <c r="N16" s="12" t="s">
        <v>252</v>
      </c>
      <c r="O16" s="7"/>
      <c r="P16" s="7"/>
      <c r="Q16" s="7"/>
    </row>
    <row r="17" spans="1:17" ht="105.75" customHeight="1" x14ac:dyDescent="0.3">
      <c r="A17" s="13" t="s">
        <v>333</v>
      </c>
      <c r="B17" s="10" t="s">
        <v>334</v>
      </c>
      <c r="C17" s="10" t="s">
        <v>335</v>
      </c>
      <c r="D17" s="14" t="s">
        <v>256</v>
      </c>
      <c r="E17" s="10" t="s">
        <v>59</v>
      </c>
      <c r="F17" s="10" t="s">
        <v>245</v>
      </c>
      <c r="G17" s="10" t="s">
        <v>336</v>
      </c>
      <c r="H17" s="10" t="s">
        <v>258</v>
      </c>
      <c r="I17" s="10" t="s">
        <v>337</v>
      </c>
      <c r="J17" s="14" t="s">
        <v>61</v>
      </c>
      <c r="K17" s="10" t="s">
        <v>332</v>
      </c>
      <c r="L17" s="14" t="s">
        <v>250</v>
      </c>
      <c r="M17" s="14" t="s">
        <v>251</v>
      </c>
      <c r="N17" s="14" t="s">
        <v>252</v>
      </c>
      <c r="O17" s="10"/>
      <c r="P17" s="10"/>
      <c r="Q17" s="10"/>
    </row>
    <row r="18" spans="1:17" ht="133.5" customHeight="1" x14ac:dyDescent="0.3">
      <c r="A18" s="11" t="s">
        <v>338</v>
      </c>
      <c r="B18" s="7" t="s">
        <v>339</v>
      </c>
      <c r="C18" s="7" t="s">
        <v>340</v>
      </c>
      <c r="D18" s="12" t="s">
        <v>142</v>
      </c>
      <c r="E18" s="7" t="s">
        <v>236</v>
      </c>
      <c r="F18" s="7" t="s">
        <v>341</v>
      </c>
      <c r="G18" s="7" t="s">
        <v>342</v>
      </c>
      <c r="H18" s="7" t="s">
        <v>258</v>
      </c>
      <c r="I18" s="7" t="s">
        <v>343</v>
      </c>
      <c r="J18" s="12" t="s">
        <v>64</v>
      </c>
      <c r="K18" s="7" t="s">
        <v>344</v>
      </c>
      <c r="L18" s="12" t="s">
        <v>227</v>
      </c>
      <c r="M18" s="12" t="s">
        <v>251</v>
      </c>
      <c r="N18" s="12" t="s">
        <v>267</v>
      </c>
      <c r="O18" s="7" t="s">
        <v>345</v>
      </c>
      <c r="P18" s="7" t="s">
        <v>346</v>
      </c>
      <c r="Q18" s="7" t="s">
        <v>269</v>
      </c>
    </row>
    <row r="19" spans="1:17" ht="133.5" customHeight="1" x14ac:dyDescent="0.3">
      <c r="A19" s="13" t="s">
        <v>347</v>
      </c>
      <c r="B19" s="10" t="s">
        <v>348</v>
      </c>
      <c r="C19" s="10" t="s">
        <v>349</v>
      </c>
      <c r="D19" s="14" t="s">
        <v>147</v>
      </c>
      <c r="E19" s="10" t="s">
        <v>236</v>
      </c>
      <c r="F19" s="10" t="s">
        <v>341</v>
      </c>
      <c r="G19" s="10" t="s">
        <v>350</v>
      </c>
      <c r="H19" s="10" t="s">
        <v>351</v>
      </c>
      <c r="I19" s="10" t="s">
        <v>352</v>
      </c>
      <c r="J19" s="14" t="s">
        <v>64</v>
      </c>
      <c r="K19" s="10" t="s">
        <v>344</v>
      </c>
      <c r="L19" s="14" t="s">
        <v>250</v>
      </c>
      <c r="M19" s="14" t="s">
        <v>251</v>
      </c>
      <c r="N19" s="14" t="s">
        <v>267</v>
      </c>
      <c r="O19" s="10"/>
      <c r="P19" s="10"/>
      <c r="Q19" s="10"/>
    </row>
    <row r="20" spans="1:17" ht="105.75" customHeight="1" x14ac:dyDescent="0.3">
      <c r="A20" s="11" t="s">
        <v>353</v>
      </c>
      <c r="B20" s="7" t="s">
        <v>354</v>
      </c>
      <c r="C20" s="7" t="s">
        <v>355</v>
      </c>
      <c r="D20" s="12" t="s">
        <v>147</v>
      </c>
      <c r="E20" s="7" t="s">
        <v>236</v>
      </c>
      <c r="F20" s="7" t="s">
        <v>245</v>
      </c>
      <c r="G20" s="7" t="s">
        <v>356</v>
      </c>
      <c r="H20" s="7" t="s">
        <v>357</v>
      </c>
      <c r="I20" s="7" t="s">
        <v>358</v>
      </c>
      <c r="J20" s="12" t="s">
        <v>67</v>
      </c>
      <c r="K20" s="7" t="s">
        <v>359</v>
      </c>
      <c r="L20" s="12" t="s">
        <v>227</v>
      </c>
      <c r="M20" s="12" t="s">
        <v>228</v>
      </c>
      <c r="N20" s="12" t="s">
        <v>229</v>
      </c>
      <c r="O20" s="7" t="s">
        <v>230</v>
      </c>
      <c r="P20" s="7" t="s">
        <v>231</v>
      </c>
      <c r="Q20" s="7" t="s">
        <v>232</v>
      </c>
    </row>
    <row r="21" spans="1:17" ht="105.75" customHeight="1" x14ac:dyDescent="0.3">
      <c r="A21" s="13" t="s">
        <v>360</v>
      </c>
      <c r="B21" s="10" t="s">
        <v>361</v>
      </c>
      <c r="C21" s="10" t="s">
        <v>362</v>
      </c>
      <c r="D21" s="14" t="s">
        <v>147</v>
      </c>
      <c r="E21" s="10" t="s">
        <v>236</v>
      </c>
      <c r="F21" s="10" t="s">
        <v>363</v>
      </c>
      <c r="G21" s="10" t="s">
        <v>364</v>
      </c>
      <c r="H21" s="10" t="s">
        <v>365</v>
      </c>
      <c r="I21" s="10" t="s">
        <v>366</v>
      </c>
      <c r="J21" s="14" t="s">
        <v>67</v>
      </c>
      <c r="K21" s="10" t="s">
        <v>359</v>
      </c>
      <c r="L21" s="14" t="s">
        <v>227</v>
      </c>
      <c r="M21" s="14" t="s">
        <v>228</v>
      </c>
      <c r="N21" s="14" t="s">
        <v>229</v>
      </c>
      <c r="O21" s="10" t="s">
        <v>230</v>
      </c>
      <c r="P21" s="10" t="s">
        <v>231</v>
      </c>
      <c r="Q21" s="10" t="s">
        <v>232</v>
      </c>
    </row>
    <row r="22" spans="1:17" ht="105.75" customHeight="1" x14ac:dyDescent="0.3">
      <c r="A22" s="11" t="s">
        <v>367</v>
      </c>
      <c r="B22" s="7" t="s">
        <v>368</v>
      </c>
      <c r="C22" s="7" t="s">
        <v>369</v>
      </c>
      <c r="D22" s="12" t="s">
        <v>147</v>
      </c>
      <c r="E22" s="7" t="s">
        <v>236</v>
      </c>
      <c r="F22" s="7" t="s">
        <v>363</v>
      </c>
      <c r="G22" s="7" t="s">
        <v>370</v>
      </c>
      <c r="H22" s="7" t="s">
        <v>258</v>
      </c>
      <c r="I22" s="7" t="s">
        <v>371</v>
      </c>
      <c r="J22" s="12" t="s">
        <v>67</v>
      </c>
      <c r="K22" s="7" t="s">
        <v>372</v>
      </c>
      <c r="L22" s="12" t="s">
        <v>250</v>
      </c>
      <c r="M22" s="12" t="s">
        <v>251</v>
      </c>
      <c r="N22" s="12" t="s">
        <v>267</v>
      </c>
      <c r="O22" s="7"/>
      <c r="P22" s="7"/>
      <c r="Q22" s="7"/>
    </row>
    <row r="23" spans="1:17" ht="105.75" customHeight="1" x14ac:dyDescent="0.3">
      <c r="A23" s="13" t="s">
        <v>373</v>
      </c>
      <c r="B23" s="10" t="s">
        <v>374</v>
      </c>
      <c r="C23" s="10" t="s">
        <v>375</v>
      </c>
      <c r="D23" s="14" t="s">
        <v>147</v>
      </c>
      <c r="E23" s="10" t="s">
        <v>236</v>
      </c>
      <c r="F23" s="10" t="s">
        <v>363</v>
      </c>
      <c r="G23" s="10" t="s">
        <v>376</v>
      </c>
      <c r="H23" s="10" t="s">
        <v>377</v>
      </c>
      <c r="I23" s="10" t="s">
        <v>378</v>
      </c>
      <c r="J23" s="14" t="s">
        <v>67</v>
      </c>
      <c r="K23" s="10" t="s">
        <v>359</v>
      </c>
      <c r="L23" s="14" t="s">
        <v>227</v>
      </c>
      <c r="M23" s="14" t="s">
        <v>228</v>
      </c>
      <c r="N23" s="14" t="s">
        <v>229</v>
      </c>
      <c r="O23" s="10" t="s">
        <v>379</v>
      </c>
      <c r="P23" s="10" t="s">
        <v>231</v>
      </c>
      <c r="Q23" s="10" t="s">
        <v>232</v>
      </c>
    </row>
    <row r="24" spans="1:17" ht="133.5" customHeight="1" x14ac:dyDescent="0.3">
      <c r="A24" s="11" t="s">
        <v>380</v>
      </c>
      <c r="B24" s="7" t="s">
        <v>381</v>
      </c>
      <c r="C24" s="7" t="s">
        <v>382</v>
      </c>
      <c r="D24" s="12" t="s">
        <v>147</v>
      </c>
      <c r="E24" s="7" t="s">
        <v>316</v>
      </c>
      <c r="F24" s="7" t="s">
        <v>341</v>
      </c>
      <c r="G24" s="7" t="s">
        <v>383</v>
      </c>
      <c r="H24" s="7" t="s">
        <v>357</v>
      </c>
      <c r="I24" s="7" t="s">
        <v>384</v>
      </c>
      <c r="J24" s="12" t="s">
        <v>70</v>
      </c>
      <c r="K24" s="7" t="s">
        <v>344</v>
      </c>
      <c r="L24" s="12" t="s">
        <v>250</v>
      </c>
      <c r="M24" s="12" t="s">
        <v>251</v>
      </c>
      <c r="N24" s="12" t="s">
        <v>267</v>
      </c>
      <c r="O24" s="7"/>
      <c r="P24" s="7"/>
      <c r="Q24" s="7"/>
    </row>
    <row r="25" spans="1:17" ht="120" customHeight="1" x14ac:dyDescent="0.3">
      <c r="A25" s="13" t="s">
        <v>385</v>
      </c>
      <c r="B25" s="10" t="s">
        <v>386</v>
      </c>
      <c r="C25" s="10" t="s">
        <v>387</v>
      </c>
      <c r="D25" s="14" t="s">
        <v>155</v>
      </c>
      <c r="E25" s="10" t="s">
        <v>59</v>
      </c>
      <c r="F25" s="10" t="s">
        <v>388</v>
      </c>
      <c r="G25" s="10" t="s">
        <v>389</v>
      </c>
      <c r="H25" s="10" t="s">
        <v>258</v>
      </c>
      <c r="I25" s="10" t="s">
        <v>390</v>
      </c>
      <c r="J25" s="14" t="s">
        <v>70</v>
      </c>
      <c r="K25" s="10" t="s">
        <v>391</v>
      </c>
      <c r="L25" s="14" t="s">
        <v>250</v>
      </c>
      <c r="M25" s="14" t="s">
        <v>251</v>
      </c>
      <c r="N25" s="14" t="s">
        <v>252</v>
      </c>
      <c r="O25" s="10"/>
      <c r="P25" s="10"/>
      <c r="Q25" s="10"/>
    </row>
    <row r="26" spans="1:17" ht="105.75" customHeight="1" x14ac:dyDescent="0.3">
      <c r="A26" s="11" t="s">
        <v>392</v>
      </c>
      <c r="B26" s="7" t="s">
        <v>393</v>
      </c>
      <c r="C26" s="7" t="s">
        <v>394</v>
      </c>
      <c r="D26" s="12" t="s">
        <v>155</v>
      </c>
      <c r="E26" s="7" t="s">
        <v>395</v>
      </c>
      <c r="F26" s="7" t="s">
        <v>245</v>
      </c>
      <c r="G26" s="7" t="s">
        <v>396</v>
      </c>
      <c r="H26" s="7" t="s">
        <v>258</v>
      </c>
      <c r="I26" s="7" t="s">
        <v>397</v>
      </c>
      <c r="J26" s="12" t="s">
        <v>73</v>
      </c>
      <c r="K26" s="7" t="s">
        <v>359</v>
      </c>
      <c r="L26" s="12" t="s">
        <v>227</v>
      </c>
      <c r="M26" s="12" t="s">
        <v>228</v>
      </c>
      <c r="N26" s="12" t="s">
        <v>229</v>
      </c>
      <c r="O26" s="7" t="s">
        <v>398</v>
      </c>
      <c r="P26" s="7" t="s">
        <v>231</v>
      </c>
      <c r="Q26" s="7" t="s">
        <v>232</v>
      </c>
    </row>
    <row r="27" spans="1:17" ht="105.75" customHeight="1" x14ac:dyDescent="0.3">
      <c r="A27" s="13" t="s">
        <v>399</v>
      </c>
      <c r="B27" s="10" t="s">
        <v>400</v>
      </c>
      <c r="C27" s="10" t="s">
        <v>401</v>
      </c>
      <c r="D27" s="14" t="s">
        <v>147</v>
      </c>
      <c r="E27" s="10" t="s">
        <v>236</v>
      </c>
      <c r="F27" s="10" t="s">
        <v>245</v>
      </c>
      <c r="G27" s="10" t="s">
        <v>402</v>
      </c>
      <c r="H27" s="10" t="s">
        <v>403</v>
      </c>
      <c r="I27" s="10" t="s">
        <v>404</v>
      </c>
      <c r="J27" s="14" t="s">
        <v>73</v>
      </c>
      <c r="K27" s="10" t="s">
        <v>405</v>
      </c>
      <c r="L27" s="14" t="s">
        <v>227</v>
      </c>
      <c r="M27" s="14" t="s">
        <v>228</v>
      </c>
      <c r="N27" s="14" t="s">
        <v>229</v>
      </c>
      <c r="O27" s="10" t="s">
        <v>230</v>
      </c>
      <c r="P27" s="10" t="s">
        <v>231</v>
      </c>
      <c r="Q27" s="10" t="s">
        <v>232</v>
      </c>
    </row>
    <row r="28" spans="1:17" ht="105.75" customHeight="1" x14ac:dyDescent="0.3">
      <c r="A28" s="11" t="s">
        <v>406</v>
      </c>
      <c r="B28" s="7" t="s">
        <v>407</v>
      </c>
      <c r="C28" s="7" t="s">
        <v>408</v>
      </c>
      <c r="D28" s="12" t="s">
        <v>147</v>
      </c>
      <c r="E28" s="7" t="s">
        <v>236</v>
      </c>
      <c r="F28" s="7" t="s">
        <v>245</v>
      </c>
      <c r="G28" s="7" t="s">
        <v>409</v>
      </c>
      <c r="H28" s="7" t="s">
        <v>410</v>
      </c>
      <c r="I28" s="7" t="s">
        <v>411</v>
      </c>
      <c r="J28" s="12" t="s">
        <v>73</v>
      </c>
      <c r="K28" s="7" t="s">
        <v>412</v>
      </c>
      <c r="L28" s="12" t="s">
        <v>227</v>
      </c>
      <c r="M28" s="12" t="s">
        <v>228</v>
      </c>
      <c r="N28" s="12" t="s">
        <v>229</v>
      </c>
      <c r="O28" s="7" t="s">
        <v>230</v>
      </c>
      <c r="P28" s="7" t="s">
        <v>231</v>
      </c>
      <c r="Q28" s="7" t="s">
        <v>232</v>
      </c>
    </row>
    <row r="29" spans="1:17" ht="160.5" customHeight="1" x14ac:dyDescent="0.3">
      <c r="A29" s="13" t="s">
        <v>413</v>
      </c>
      <c r="B29" s="10" t="s">
        <v>414</v>
      </c>
      <c r="C29" s="10" t="s">
        <v>415</v>
      </c>
      <c r="D29" s="14" t="s">
        <v>147</v>
      </c>
      <c r="E29" s="10" t="s">
        <v>236</v>
      </c>
      <c r="F29" s="10" t="s">
        <v>416</v>
      </c>
      <c r="G29" s="10" t="s">
        <v>417</v>
      </c>
      <c r="H29" s="10" t="s">
        <v>418</v>
      </c>
      <c r="I29" s="10" t="s">
        <v>419</v>
      </c>
      <c r="J29" s="14" t="s">
        <v>73</v>
      </c>
      <c r="K29" s="10" t="s">
        <v>420</v>
      </c>
      <c r="L29" s="14" t="s">
        <v>250</v>
      </c>
      <c r="M29" s="14" t="s">
        <v>251</v>
      </c>
      <c r="N29" s="14" t="s">
        <v>252</v>
      </c>
      <c r="O29" s="10"/>
      <c r="P29" s="10"/>
      <c r="Q29" s="10"/>
    </row>
    <row r="30" spans="1:17" ht="133.5" customHeight="1" x14ac:dyDescent="0.3">
      <c r="A30" s="11" t="s">
        <v>421</v>
      </c>
      <c r="B30" s="7" t="s">
        <v>422</v>
      </c>
      <c r="C30" s="7" t="s">
        <v>423</v>
      </c>
      <c r="D30" s="12" t="s">
        <v>155</v>
      </c>
      <c r="E30" s="7" t="s">
        <v>316</v>
      </c>
      <c r="F30" s="7" t="s">
        <v>341</v>
      </c>
      <c r="G30" s="7" t="s">
        <v>424</v>
      </c>
      <c r="H30" s="7" t="s">
        <v>403</v>
      </c>
      <c r="I30" s="7" t="s">
        <v>425</v>
      </c>
      <c r="J30" s="12" t="s">
        <v>76</v>
      </c>
      <c r="K30" s="7" t="s">
        <v>391</v>
      </c>
      <c r="L30" s="12" t="s">
        <v>250</v>
      </c>
      <c r="M30" s="12" t="s">
        <v>251</v>
      </c>
      <c r="N30" s="12" t="s">
        <v>252</v>
      </c>
      <c r="O30" s="7"/>
      <c r="P30" s="7"/>
      <c r="Q30" s="7"/>
    </row>
    <row r="31" spans="1:17" ht="133.5" customHeight="1" x14ac:dyDescent="0.3">
      <c r="A31" s="13" t="s">
        <v>426</v>
      </c>
      <c r="B31" s="10" t="s">
        <v>427</v>
      </c>
      <c r="C31" s="10" t="s">
        <v>428</v>
      </c>
      <c r="D31" s="14" t="s">
        <v>147</v>
      </c>
      <c r="E31" s="10" t="s">
        <v>236</v>
      </c>
      <c r="F31" s="10" t="s">
        <v>429</v>
      </c>
      <c r="G31" s="10" t="s">
        <v>430</v>
      </c>
      <c r="H31" s="10" t="s">
        <v>410</v>
      </c>
      <c r="I31" s="10" t="s">
        <v>431</v>
      </c>
      <c r="J31" s="14" t="s">
        <v>76</v>
      </c>
      <c r="K31" s="10" t="s">
        <v>391</v>
      </c>
      <c r="L31" s="14" t="s">
        <v>250</v>
      </c>
      <c r="M31" s="14" t="s">
        <v>251</v>
      </c>
      <c r="N31" s="14" t="s">
        <v>252</v>
      </c>
      <c r="O31" s="10"/>
      <c r="P31" s="10"/>
      <c r="Q31" s="10"/>
    </row>
    <row r="32" spans="1:17" ht="120" customHeight="1" x14ac:dyDescent="0.3">
      <c r="A32" s="11" t="s">
        <v>432</v>
      </c>
      <c r="B32" s="7" t="s">
        <v>433</v>
      </c>
      <c r="C32" s="7" t="s">
        <v>434</v>
      </c>
      <c r="D32" s="12" t="s">
        <v>155</v>
      </c>
      <c r="E32" s="7" t="s">
        <v>316</v>
      </c>
      <c r="F32" s="7" t="s">
        <v>435</v>
      </c>
      <c r="G32" s="7" t="s">
        <v>436</v>
      </c>
      <c r="H32" s="7" t="s">
        <v>258</v>
      </c>
      <c r="I32" s="7" t="s">
        <v>437</v>
      </c>
      <c r="J32" s="12" t="s">
        <v>76</v>
      </c>
      <c r="K32" s="7" t="s">
        <v>391</v>
      </c>
      <c r="L32" s="12" t="s">
        <v>250</v>
      </c>
      <c r="M32" s="12" t="s">
        <v>251</v>
      </c>
      <c r="N32" s="12" t="s">
        <v>252</v>
      </c>
      <c r="O32" s="7"/>
      <c r="P32" s="7"/>
      <c r="Q32" s="7"/>
    </row>
    <row r="33" spans="1:17" ht="105.75" customHeight="1" x14ac:dyDescent="0.3">
      <c r="A33" s="13" t="s">
        <v>438</v>
      </c>
      <c r="B33" s="10" t="s">
        <v>439</v>
      </c>
      <c r="C33" s="10" t="s">
        <v>440</v>
      </c>
      <c r="D33" s="14" t="s">
        <v>147</v>
      </c>
      <c r="E33" s="10" t="s">
        <v>441</v>
      </c>
      <c r="F33" s="10" t="s">
        <v>245</v>
      </c>
      <c r="G33" s="10" t="s">
        <v>442</v>
      </c>
      <c r="H33" s="10" t="s">
        <v>443</v>
      </c>
      <c r="I33" s="10" t="s">
        <v>444</v>
      </c>
      <c r="J33" s="14" t="s">
        <v>79</v>
      </c>
      <c r="K33" s="10" t="s">
        <v>445</v>
      </c>
      <c r="L33" s="14" t="s">
        <v>250</v>
      </c>
      <c r="M33" s="14" t="s">
        <v>251</v>
      </c>
      <c r="N33" s="14" t="s">
        <v>252</v>
      </c>
      <c r="O33" s="10"/>
      <c r="P33" s="10"/>
      <c r="Q33" s="10"/>
    </row>
    <row r="34" spans="1:17" ht="105.75" customHeight="1" x14ac:dyDescent="0.3">
      <c r="A34" s="11" t="s">
        <v>446</v>
      </c>
      <c r="B34" s="7" t="s">
        <v>447</v>
      </c>
      <c r="C34" s="7" t="s">
        <v>448</v>
      </c>
      <c r="D34" s="12" t="s">
        <v>155</v>
      </c>
      <c r="E34" s="7" t="s">
        <v>449</v>
      </c>
      <c r="F34" s="7" t="s">
        <v>245</v>
      </c>
      <c r="G34" s="7" t="s">
        <v>442</v>
      </c>
      <c r="H34" s="7" t="s">
        <v>450</v>
      </c>
      <c r="I34" s="7" t="s">
        <v>451</v>
      </c>
      <c r="J34" s="12" t="s">
        <v>79</v>
      </c>
      <c r="K34" s="7" t="s">
        <v>452</v>
      </c>
      <c r="L34" s="12" t="s">
        <v>250</v>
      </c>
      <c r="M34" s="12" t="s">
        <v>251</v>
      </c>
      <c r="N34" s="12" t="s">
        <v>252</v>
      </c>
      <c r="O34" s="7"/>
      <c r="P34" s="7"/>
      <c r="Q34" s="7"/>
    </row>
    <row r="35" spans="1:17" ht="105.75" customHeight="1" x14ac:dyDescent="0.3">
      <c r="A35" s="13" t="s">
        <v>453</v>
      </c>
      <c r="B35" s="10" t="s">
        <v>454</v>
      </c>
      <c r="C35" s="10" t="s">
        <v>455</v>
      </c>
      <c r="D35" s="14" t="s">
        <v>155</v>
      </c>
      <c r="E35" s="10" t="s">
        <v>456</v>
      </c>
      <c r="F35" s="10" t="s">
        <v>245</v>
      </c>
      <c r="G35" s="10" t="s">
        <v>457</v>
      </c>
      <c r="H35" s="10" t="s">
        <v>458</v>
      </c>
      <c r="I35" s="10" t="s">
        <v>459</v>
      </c>
      <c r="J35" s="14" t="s">
        <v>79</v>
      </c>
      <c r="K35" s="10" t="s">
        <v>460</v>
      </c>
      <c r="L35" s="14" t="s">
        <v>250</v>
      </c>
      <c r="M35" s="14" t="s">
        <v>251</v>
      </c>
      <c r="N35" s="14" t="s">
        <v>252</v>
      </c>
      <c r="O35" s="10"/>
      <c r="P35" s="10"/>
      <c r="Q35" s="10"/>
    </row>
    <row r="36" spans="1:17" ht="120" customHeight="1" x14ac:dyDescent="0.3">
      <c r="A36" s="11" t="s">
        <v>461</v>
      </c>
      <c r="B36" s="7" t="s">
        <v>462</v>
      </c>
      <c r="C36" s="7" t="s">
        <v>463</v>
      </c>
      <c r="D36" s="12" t="s">
        <v>142</v>
      </c>
      <c r="E36" s="7" t="s">
        <v>464</v>
      </c>
      <c r="F36" s="7" t="s">
        <v>245</v>
      </c>
      <c r="G36" s="7" t="s">
        <v>465</v>
      </c>
      <c r="H36" s="7" t="s">
        <v>466</v>
      </c>
      <c r="I36" s="7" t="s">
        <v>467</v>
      </c>
      <c r="J36" s="12" t="s">
        <v>79</v>
      </c>
      <c r="K36" s="7" t="s">
        <v>359</v>
      </c>
      <c r="L36" s="12" t="s">
        <v>227</v>
      </c>
      <c r="M36" s="12" t="s">
        <v>228</v>
      </c>
      <c r="N36" s="12" t="s">
        <v>229</v>
      </c>
      <c r="O36" s="7" t="s">
        <v>230</v>
      </c>
      <c r="P36" s="7" t="s">
        <v>231</v>
      </c>
      <c r="Q36" s="7" t="s">
        <v>232</v>
      </c>
    </row>
    <row r="37" spans="1:17" ht="105.75" customHeight="1" x14ac:dyDescent="0.3">
      <c r="A37" s="13" t="s">
        <v>468</v>
      </c>
      <c r="B37" s="10" t="s">
        <v>469</v>
      </c>
      <c r="C37" s="10" t="s">
        <v>470</v>
      </c>
      <c r="D37" s="14" t="s">
        <v>147</v>
      </c>
      <c r="E37" s="10" t="s">
        <v>441</v>
      </c>
      <c r="F37" s="10" t="s">
        <v>245</v>
      </c>
      <c r="G37" s="10" t="s">
        <v>471</v>
      </c>
      <c r="H37" s="10" t="s">
        <v>472</v>
      </c>
      <c r="I37" s="10" t="s">
        <v>473</v>
      </c>
      <c r="J37" s="14" t="s">
        <v>79</v>
      </c>
      <c r="K37" s="10" t="s">
        <v>474</v>
      </c>
      <c r="L37" s="14" t="s">
        <v>227</v>
      </c>
      <c r="M37" s="14" t="s">
        <v>228</v>
      </c>
      <c r="N37" s="14" t="s">
        <v>229</v>
      </c>
      <c r="O37" s="10" t="s">
        <v>230</v>
      </c>
      <c r="P37" s="10" t="s">
        <v>231</v>
      </c>
      <c r="Q37" s="10" t="s">
        <v>232</v>
      </c>
    </row>
    <row r="38" spans="1:17" ht="105.75" customHeight="1" x14ac:dyDescent="0.3">
      <c r="A38" s="11" t="s">
        <v>475</v>
      </c>
      <c r="B38" s="7" t="s">
        <v>476</v>
      </c>
      <c r="C38" s="7" t="s">
        <v>477</v>
      </c>
      <c r="D38" s="12" t="s">
        <v>142</v>
      </c>
      <c r="E38" s="7" t="s">
        <v>221</v>
      </c>
      <c r="F38" s="7" t="s">
        <v>245</v>
      </c>
      <c r="G38" s="7" t="s">
        <v>478</v>
      </c>
      <c r="H38" s="7" t="s">
        <v>479</v>
      </c>
      <c r="I38" s="7" t="s">
        <v>480</v>
      </c>
      <c r="J38" s="12" t="s">
        <v>79</v>
      </c>
      <c r="K38" s="7" t="s">
        <v>481</v>
      </c>
      <c r="L38" s="12" t="s">
        <v>227</v>
      </c>
      <c r="M38" s="12" t="s">
        <v>228</v>
      </c>
      <c r="N38" s="12" t="s">
        <v>229</v>
      </c>
      <c r="O38" s="7" t="s">
        <v>230</v>
      </c>
      <c r="P38" s="7" t="s">
        <v>231</v>
      </c>
      <c r="Q38" s="7" t="s">
        <v>232</v>
      </c>
    </row>
    <row r="39" spans="1:17" ht="105.75" customHeight="1" x14ac:dyDescent="0.3">
      <c r="A39" s="13" t="s">
        <v>482</v>
      </c>
      <c r="B39" s="10" t="s">
        <v>483</v>
      </c>
      <c r="C39" s="10" t="s">
        <v>484</v>
      </c>
      <c r="D39" s="14" t="s">
        <v>147</v>
      </c>
      <c r="E39" s="10" t="s">
        <v>485</v>
      </c>
      <c r="F39" s="10" t="s">
        <v>245</v>
      </c>
      <c r="G39" s="10" t="s">
        <v>486</v>
      </c>
      <c r="H39" s="10" t="s">
        <v>487</v>
      </c>
      <c r="I39" s="10" t="s">
        <v>488</v>
      </c>
      <c r="J39" s="14" t="s">
        <v>79</v>
      </c>
      <c r="K39" s="10" t="s">
        <v>489</v>
      </c>
      <c r="L39" s="14" t="s">
        <v>227</v>
      </c>
      <c r="M39" s="14" t="s">
        <v>228</v>
      </c>
      <c r="N39" s="14" t="s">
        <v>229</v>
      </c>
      <c r="O39" s="10" t="s">
        <v>490</v>
      </c>
      <c r="P39" s="10" t="s">
        <v>231</v>
      </c>
      <c r="Q39" s="10" t="s">
        <v>232</v>
      </c>
    </row>
    <row r="40" spans="1:17" ht="105.75" customHeight="1" x14ac:dyDescent="0.3">
      <c r="A40" s="11" t="s">
        <v>491</v>
      </c>
      <c r="B40" s="7" t="s">
        <v>492</v>
      </c>
      <c r="C40" s="7" t="s">
        <v>493</v>
      </c>
      <c r="D40" s="12" t="s">
        <v>155</v>
      </c>
      <c r="E40" s="7" t="s">
        <v>494</v>
      </c>
      <c r="F40" s="7" t="s">
        <v>245</v>
      </c>
      <c r="G40" s="7" t="s">
        <v>495</v>
      </c>
      <c r="H40" s="7" t="s">
        <v>496</v>
      </c>
      <c r="I40" s="7" t="s">
        <v>497</v>
      </c>
      <c r="J40" s="12" t="s">
        <v>79</v>
      </c>
      <c r="K40" s="7" t="s">
        <v>498</v>
      </c>
      <c r="L40" s="12" t="s">
        <v>250</v>
      </c>
      <c r="M40" s="12" t="s">
        <v>251</v>
      </c>
      <c r="N40" s="12" t="s">
        <v>252</v>
      </c>
      <c r="O40" s="7"/>
      <c r="P40" s="7"/>
      <c r="Q40" s="7"/>
    </row>
    <row r="41" spans="1:17" ht="105.75" customHeight="1" x14ac:dyDescent="0.3">
      <c r="A41" s="13" t="s">
        <v>499</v>
      </c>
      <c r="B41" s="10" t="s">
        <v>500</v>
      </c>
      <c r="C41" s="10" t="s">
        <v>501</v>
      </c>
      <c r="D41" s="14" t="s">
        <v>147</v>
      </c>
      <c r="E41" s="10" t="s">
        <v>236</v>
      </c>
      <c r="F41" s="10" t="s">
        <v>245</v>
      </c>
      <c r="G41" s="10" t="s">
        <v>502</v>
      </c>
      <c r="H41" s="10" t="s">
        <v>503</v>
      </c>
      <c r="I41" s="10" t="s">
        <v>504</v>
      </c>
      <c r="J41" s="14" t="s">
        <v>79</v>
      </c>
      <c r="K41" s="10" t="s">
        <v>359</v>
      </c>
      <c r="L41" s="14" t="s">
        <v>227</v>
      </c>
      <c r="M41" s="14" t="s">
        <v>228</v>
      </c>
      <c r="N41" s="14" t="s">
        <v>229</v>
      </c>
      <c r="O41" s="10" t="s">
        <v>230</v>
      </c>
      <c r="P41" s="10" t="s">
        <v>231</v>
      </c>
      <c r="Q41" s="10" t="s">
        <v>232</v>
      </c>
    </row>
    <row r="42" spans="1:17" ht="105.75" customHeight="1" x14ac:dyDescent="0.3">
      <c r="A42" s="11" t="s">
        <v>505</v>
      </c>
      <c r="B42" s="7" t="s">
        <v>506</v>
      </c>
      <c r="C42" s="7" t="s">
        <v>507</v>
      </c>
      <c r="D42" s="12" t="s">
        <v>147</v>
      </c>
      <c r="E42" s="7" t="s">
        <v>236</v>
      </c>
      <c r="F42" s="7" t="s">
        <v>245</v>
      </c>
      <c r="G42" s="7" t="s">
        <v>508</v>
      </c>
      <c r="H42" s="7" t="s">
        <v>479</v>
      </c>
      <c r="I42" s="7" t="s">
        <v>509</v>
      </c>
      <c r="J42" s="12" t="s">
        <v>79</v>
      </c>
      <c r="K42" s="7" t="s">
        <v>359</v>
      </c>
      <c r="L42" s="12" t="s">
        <v>227</v>
      </c>
      <c r="M42" s="12" t="s">
        <v>228</v>
      </c>
      <c r="N42" s="12" t="s">
        <v>229</v>
      </c>
      <c r="O42" s="7" t="s">
        <v>230</v>
      </c>
      <c r="P42" s="7" t="s">
        <v>231</v>
      </c>
      <c r="Q42" s="7" t="s">
        <v>232</v>
      </c>
    </row>
    <row r="43" spans="1:17" ht="120" customHeight="1" x14ac:dyDescent="0.3">
      <c r="A43" s="13" t="s">
        <v>510</v>
      </c>
      <c r="B43" s="10" t="s">
        <v>511</v>
      </c>
      <c r="C43" s="10" t="s">
        <v>512</v>
      </c>
      <c r="D43" s="14" t="s">
        <v>142</v>
      </c>
      <c r="E43" s="10" t="s">
        <v>236</v>
      </c>
      <c r="F43" s="10" t="s">
        <v>237</v>
      </c>
      <c r="G43" s="10" t="s">
        <v>513</v>
      </c>
      <c r="H43" s="10" t="s">
        <v>514</v>
      </c>
      <c r="I43" s="10" t="s">
        <v>515</v>
      </c>
      <c r="J43" s="14" t="s">
        <v>79</v>
      </c>
      <c r="K43" s="10" t="s">
        <v>516</v>
      </c>
      <c r="L43" s="14" t="s">
        <v>227</v>
      </c>
      <c r="M43" s="14" t="s">
        <v>251</v>
      </c>
      <c r="N43" s="14" t="s">
        <v>267</v>
      </c>
      <c r="O43" s="10" t="s">
        <v>517</v>
      </c>
      <c r="P43" s="10" t="s">
        <v>346</v>
      </c>
      <c r="Q43" s="10" t="s">
        <v>269</v>
      </c>
    </row>
    <row r="44" spans="1:17" ht="105.75" customHeight="1" x14ac:dyDescent="0.3">
      <c r="A44" s="11" t="s">
        <v>518</v>
      </c>
      <c r="B44" s="7" t="s">
        <v>519</v>
      </c>
      <c r="C44" s="7" t="s">
        <v>520</v>
      </c>
      <c r="D44" s="12" t="s">
        <v>155</v>
      </c>
      <c r="E44" s="7" t="s">
        <v>59</v>
      </c>
      <c r="F44" s="7" t="s">
        <v>245</v>
      </c>
      <c r="G44" s="7" t="s">
        <v>521</v>
      </c>
      <c r="H44" s="7" t="s">
        <v>522</v>
      </c>
      <c r="I44" s="7" t="s">
        <v>523</v>
      </c>
      <c r="J44" s="12" t="s">
        <v>79</v>
      </c>
      <c r="K44" s="7" t="s">
        <v>249</v>
      </c>
      <c r="L44" s="12" t="s">
        <v>250</v>
      </c>
      <c r="M44" s="12" t="s">
        <v>251</v>
      </c>
      <c r="N44" s="12" t="s">
        <v>252</v>
      </c>
      <c r="O44" s="7"/>
      <c r="P44" s="7"/>
      <c r="Q44" s="7"/>
    </row>
    <row r="45" spans="1:17" ht="160.5" customHeight="1" x14ac:dyDescent="0.3">
      <c r="A45" s="13" t="s">
        <v>524</v>
      </c>
      <c r="B45" s="10" t="s">
        <v>525</v>
      </c>
      <c r="C45" s="10" t="s">
        <v>526</v>
      </c>
      <c r="D45" s="14" t="s">
        <v>155</v>
      </c>
      <c r="E45" s="10" t="s">
        <v>236</v>
      </c>
      <c r="F45" s="10" t="s">
        <v>527</v>
      </c>
      <c r="G45" s="10" t="s">
        <v>528</v>
      </c>
      <c r="H45" s="10" t="s">
        <v>479</v>
      </c>
      <c r="I45" s="10" t="s">
        <v>529</v>
      </c>
      <c r="J45" s="14" t="s">
        <v>153</v>
      </c>
      <c r="K45" s="10" t="s">
        <v>391</v>
      </c>
      <c r="L45" s="14" t="s">
        <v>250</v>
      </c>
      <c r="M45" s="14" t="s">
        <v>251</v>
      </c>
      <c r="N45" s="14" t="s">
        <v>252</v>
      </c>
      <c r="O45" s="10"/>
      <c r="P45" s="10"/>
      <c r="Q45" s="10"/>
    </row>
    <row r="46" spans="1:17" ht="78.75" customHeight="1" x14ac:dyDescent="0.3">
      <c r="A46" s="11" t="s">
        <v>530</v>
      </c>
      <c r="B46" s="7" t="s">
        <v>531</v>
      </c>
      <c r="C46" s="7" t="s">
        <v>532</v>
      </c>
      <c r="D46" s="12" t="s">
        <v>155</v>
      </c>
      <c r="E46" s="7" t="s">
        <v>464</v>
      </c>
      <c r="F46" s="7" t="s">
        <v>222</v>
      </c>
      <c r="G46" s="7" t="s">
        <v>533</v>
      </c>
      <c r="H46" s="7" t="s">
        <v>534</v>
      </c>
      <c r="I46" s="7" t="s">
        <v>535</v>
      </c>
      <c r="J46" s="12" t="s">
        <v>85</v>
      </c>
      <c r="K46" s="7" t="s">
        <v>536</v>
      </c>
      <c r="L46" s="12" t="s">
        <v>227</v>
      </c>
      <c r="M46" s="12" t="s">
        <v>228</v>
      </c>
      <c r="N46" s="12" t="s">
        <v>229</v>
      </c>
      <c r="O46" s="7" t="s">
        <v>230</v>
      </c>
      <c r="P46" s="7" t="s">
        <v>231</v>
      </c>
      <c r="Q46" s="7" t="s">
        <v>232</v>
      </c>
    </row>
    <row r="47" spans="1:17" ht="105.75" customHeight="1" x14ac:dyDescent="0.3">
      <c r="A47" s="13" t="s">
        <v>537</v>
      </c>
      <c r="B47" s="10" t="s">
        <v>538</v>
      </c>
      <c r="C47" s="10" t="s">
        <v>539</v>
      </c>
      <c r="D47" s="14" t="s">
        <v>142</v>
      </c>
      <c r="E47" s="10" t="s">
        <v>221</v>
      </c>
      <c r="F47" s="10" t="s">
        <v>245</v>
      </c>
      <c r="G47" s="10" t="s">
        <v>540</v>
      </c>
      <c r="H47" s="10" t="s">
        <v>541</v>
      </c>
      <c r="I47" s="10" t="s">
        <v>542</v>
      </c>
      <c r="J47" s="14" t="s">
        <v>85</v>
      </c>
      <c r="K47" s="10" t="s">
        <v>543</v>
      </c>
      <c r="L47" s="14" t="s">
        <v>227</v>
      </c>
      <c r="M47" s="14" t="s">
        <v>251</v>
      </c>
      <c r="N47" s="14" t="s">
        <v>267</v>
      </c>
      <c r="O47" s="10" t="s">
        <v>544</v>
      </c>
      <c r="P47" s="10" t="s">
        <v>346</v>
      </c>
      <c r="Q47" s="10" t="s">
        <v>269</v>
      </c>
    </row>
    <row r="48" spans="1:17" ht="105.75" customHeight="1" x14ac:dyDescent="0.3">
      <c r="A48" s="11" t="s">
        <v>545</v>
      </c>
      <c r="B48" s="7" t="s">
        <v>546</v>
      </c>
      <c r="C48" s="7" t="s">
        <v>547</v>
      </c>
      <c r="D48" s="12" t="s">
        <v>142</v>
      </c>
      <c r="E48" s="7" t="s">
        <v>221</v>
      </c>
      <c r="F48" s="7" t="s">
        <v>245</v>
      </c>
      <c r="G48" s="7" t="s">
        <v>548</v>
      </c>
      <c r="H48" s="7" t="s">
        <v>549</v>
      </c>
      <c r="I48" s="7" t="s">
        <v>550</v>
      </c>
      <c r="J48" s="12" t="s">
        <v>85</v>
      </c>
      <c r="K48" s="7" t="s">
        <v>359</v>
      </c>
      <c r="L48" s="12" t="s">
        <v>227</v>
      </c>
      <c r="M48" s="12" t="s">
        <v>228</v>
      </c>
      <c r="N48" s="12" t="s">
        <v>229</v>
      </c>
      <c r="O48" s="7" t="s">
        <v>230</v>
      </c>
      <c r="P48" s="7" t="s">
        <v>231</v>
      </c>
      <c r="Q48" s="7" t="s">
        <v>232</v>
      </c>
    </row>
    <row r="49" spans="1:17" ht="120" customHeight="1" x14ac:dyDescent="0.3">
      <c r="A49" s="13" t="s">
        <v>551</v>
      </c>
      <c r="B49" s="10" t="s">
        <v>552</v>
      </c>
      <c r="C49" s="10" t="s">
        <v>553</v>
      </c>
      <c r="D49" s="14" t="s">
        <v>155</v>
      </c>
      <c r="E49" s="10" t="s">
        <v>236</v>
      </c>
      <c r="F49" s="10" t="s">
        <v>237</v>
      </c>
      <c r="G49" s="10" t="s">
        <v>554</v>
      </c>
      <c r="H49" s="10" t="s">
        <v>258</v>
      </c>
      <c r="I49" s="10" t="s">
        <v>555</v>
      </c>
      <c r="J49" s="14" t="s">
        <v>85</v>
      </c>
      <c r="K49" s="10" t="s">
        <v>556</v>
      </c>
      <c r="L49" s="14" t="s">
        <v>227</v>
      </c>
      <c r="M49" s="14" t="s">
        <v>228</v>
      </c>
      <c r="N49" s="14" t="s">
        <v>229</v>
      </c>
      <c r="O49" s="10" t="s">
        <v>230</v>
      </c>
      <c r="P49" s="10" t="s">
        <v>231</v>
      </c>
      <c r="Q49" s="10" t="s">
        <v>232</v>
      </c>
    </row>
    <row r="50" spans="1:17" ht="120" customHeight="1" x14ac:dyDescent="0.3">
      <c r="A50" s="11" t="s">
        <v>557</v>
      </c>
      <c r="B50" s="7" t="s">
        <v>558</v>
      </c>
      <c r="C50" s="7" t="s">
        <v>559</v>
      </c>
      <c r="D50" s="12" t="s">
        <v>147</v>
      </c>
      <c r="E50" s="7" t="s">
        <v>236</v>
      </c>
      <c r="F50" s="7" t="s">
        <v>237</v>
      </c>
      <c r="G50" s="7" t="s">
        <v>560</v>
      </c>
      <c r="H50" s="7" t="s">
        <v>561</v>
      </c>
      <c r="I50" s="7" t="s">
        <v>562</v>
      </c>
      <c r="J50" s="12" t="s">
        <v>85</v>
      </c>
      <c r="K50" s="7" t="s">
        <v>563</v>
      </c>
      <c r="L50" s="12" t="s">
        <v>250</v>
      </c>
      <c r="M50" s="12" t="s">
        <v>251</v>
      </c>
      <c r="N50" s="12" t="s">
        <v>267</v>
      </c>
      <c r="O50" s="7"/>
      <c r="P50" s="7"/>
      <c r="Q50" s="7"/>
    </row>
    <row r="51" spans="1:17" ht="105.75" customHeight="1" x14ac:dyDescent="0.3">
      <c r="A51" s="13" t="s">
        <v>564</v>
      </c>
      <c r="B51" s="10" t="s">
        <v>565</v>
      </c>
      <c r="C51" s="10" t="s">
        <v>566</v>
      </c>
      <c r="D51" s="14" t="s">
        <v>155</v>
      </c>
      <c r="E51" s="10" t="s">
        <v>236</v>
      </c>
      <c r="F51" s="10" t="s">
        <v>245</v>
      </c>
      <c r="G51" s="10" t="s">
        <v>567</v>
      </c>
      <c r="H51" s="10" t="s">
        <v>258</v>
      </c>
      <c r="I51" s="10" t="s">
        <v>568</v>
      </c>
      <c r="J51" s="14" t="s">
        <v>85</v>
      </c>
      <c r="K51" s="10" t="s">
        <v>249</v>
      </c>
      <c r="L51" s="14" t="s">
        <v>250</v>
      </c>
      <c r="M51" s="14" t="s">
        <v>251</v>
      </c>
      <c r="N51" s="14" t="s">
        <v>252</v>
      </c>
      <c r="O51" s="10"/>
      <c r="P51" s="10"/>
      <c r="Q51" s="10"/>
    </row>
    <row r="52" spans="1:17" ht="105.75" customHeight="1" x14ac:dyDescent="0.3">
      <c r="A52" s="11" t="s">
        <v>569</v>
      </c>
      <c r="B52" s="7" t="s">
        <v>570</v>
      </c>
      <c r="C52" s="7" t="s">
        <v>571</v>
      </c>
      <c r="D52" s="12" t="s">
        <v>155</v>
      </c>
      <c r="E52" s="7" t="s">
        <v>59</v>
      </c>
      <c r="F52" s="7" t="s">
        <v>245</v>
      </c>
      <c r="G52" s="7" t="s">
        <v>572</v>
      </c>
      <c r="H52" s="7" t="s">
        <v>273</v>
      </c>
      <c r="I52" s="7" t="s">
        <v>573</v>
      </c>
      <c r="J52" s="12" t="s">
        <v>85</v>
      </c>
      <c r="K52" s="7" t="s">
        <v>574</v>
      </c>
      <c r="L52" s="12" t="s">
        <v>250</v>
      </c>
      <c r="M52" s="12" t="s">
        <v>251</v>
      </c>
      <c r="N52" s="12" t="s">
        <v>252</v>
      </c>
      <c r="O52" s="7"/>
      <c r="P52" s="7"/>
      <c r="Q52" s="7"/>
    </row>
    <row r="53" spans="1:17" ht="120" customHeight="1" x14ac:dyDescent="0.3">
      <c r="A53" s="13" t="s">
        <v>575</v>
      </c>
      <c r="B53" s="10" t="s">
        <v>576</v>
      </c>
      <c r="C53" s="10" t="s">
        <v>577</v>
      </c>
      <c r="D53" s="14" t="s">
        <v>155</v>
      </c>
      <c r="E53" s="10" t="s">
        <v>578</v>
      </c>
      <c r="F53" s="10" t="s">
        <v>237</v>
      </c>
      <c r="G53" s="10" t="s">
        <v>579</v>
      </c>
      <c r="H53" s="10" t="s">
        <v>580</v>
      </c>
      <c r="I53" s="10" t="s">
        <v>581</v>
      </c>
      <c r="J53" s="14" t="s">
        <v>158</v>
      </c>
      <c r="K53" s="10" t="s">
        <v>582</v>
      </c>
      <c r="L53" s="14" t="s">
        <v>227</v>
      </c>
      <c r="M53" s="14" t="s">
        <v>228</v>
      </c>
      <c r="N53" s="14" t="s">
        <v>229</v>
      </c>
      <c r="O53" s="10" t="s">
        <v>230</v>
      </c>
      <c r="P53" s="10" t="s">
        <v>231</v>
      </c>
      <c r="Q53" s="10" t="s">
        <v>232</v>
      </c>
    </row>
    <row r="54" spans="1:17" ht="120" customHeight="1" x14ac:dyDescent="0.3">
      <c r="A54" s="11" t="s">
        <v>583</v>
      </c>
      <c r="B54" s="7" t="s">
        <v>584</v>
      </c>
      <c r="C54" s="7" t="s">
        <v>577</v>
      </c>
      <c r="D54" s="12" t="s">
        <v>155</v>
      </c>
      <c r="E54" s="7" t="s">
        <v>585</v>
      </c>
      <c r="F54" s="7" t="s">
        <v>237</v>
      </c>
      <c r="G54" s="7" t="s">
        <v>586</v>
      </c>
      <c r="H54" s="7" t="s">
        <v>587</v>
      </c>
      <c r="I54" s="7" t="s">
        <v>588</v>
      </c>
      <c r="J54" s="12" t="s">
        <v>158</v>
      </c>
      <c r="K54" s="7" t="s">
        <v>460</v>
      </c>
      <c r="L54" s="12" t="s">
        <v>250</v>
      </c>
      <c r="M54" s="12" t="s">
        <v>251</v>
      </c>
      <c r="N54" s="12" t="s">
        <v>252</v>
      </c>
      <c r="O54" s="7"/>
      <c r="P54" s="7"/>
      <c r="Q54" s="7"/>
    </row>
    <row r="55" spans="1:17" ht="120" customHeight="1" x14ac:dyDescent="0.3">
      <c r="A55" s="13" t="s">
        <v>589</v>
      </c>
      <c r="B55" s="10" t="s">
        <v>590</v>
      </c>
      <c r="C55" s="10" t="s">
        <v>577</v>
      </c>
      <c r="D55" s="14" t="s">
        <v>147</v>
      </c>
      <c r="E55" s="10" t="s">
        <v>591</v>
      </c>
      <c r="F55" s="10" t="s">
        <v>237</v>
      </c>
      <c r="G55" s="10" t="s">
        <v>592</v>
      </c>
      <c r="H55" s="10" t="s">
        <v>593</v>
      </c>
      <c r="I55" s="10" t="s">
        <v>594</v>
      </c>
      <c r="J55" s="14" t="s">
        <v>158</v>
      </c>
      <c r="K55" s="10" t="s">
        <v>595</v>
      </c>
      <c r="L55" s="14" t="s">
        <v>227</v>
      </c>
      <c r="M55" s="14" t="s">
        <v>251</v>
      </c>
      <c r="N55" s="14" t="s">
        <v>267</v>
      </c>
      <c r="O55" s="10" t="s">
        <v>596</v>
      </c>
      <c r="P55" s="10" t="s">
        <v>231</v>
      </c>
      <c r="Q55" s="10" t="s">
        <v>269</v>
      </c>
    </row>
    <row r="56" spans="1:17" ht="120" customHeight="1" x14ac:dyDescent="0.3">
      <c r="A56" s="11" t="s">
        <v>597</v>
      </c>
      <c r="B56" s="7" t="s">
        <v>598</v>
      </c>
      <c r="C56" s="7" t="s">
        <v>577</v>
      </c>
      <c r="D56" s="12" t="s">
        <v>155</v>
      </c>
      <c r="E56" s="7" t="s">
        <v>599</v>
      </c>
      <c r="F56" s="7" t="s">
        <v>237</v>
      </c>
      <c r="G56" s="7" t="s">
        <v>600</v>
      </c>
      <c r="H56" s="7" t="s">
        <v>601</v>
      </c>
      <c r="I56" s="7" t="s">
        <v>602</v>
      </c>
      <c r="J56" s="12" t="s">
        <v>158</v>
      </c>
      <c r="K56" s="7" t="s">
        <v>582</v>
      </c>
      <c r="L56" s="12" t="s">
        <v>227</v>
      </c>
      <c r="M56" s="12" t="s">
        <v>228</v>
      </c>
      <c r="N56" s="12" t="s">
        <v>229</v>
      </c>
      <c r="O56" s="7" t="s">
        <v>230</v>
      </c>
      <c r="P56" s="7" t="s">
        <v>231</v>
      </c>
      <c r="Q56" s="7" t="s">
        <v>232</v>
      </c>
    </row>
    <row r="57" spans="1:17" ht="78.75" customHeight="1" x14ac:dyDescent="0.3">
      <c r="A57" s="13" t="s">
        <v>603</v>
      </c>
      <c r="B57" s="10" t="s">
        <v>604</v>
      </c>
      <c r="C57" s="10" t="s">
        <v>605</v>
      </c>
      <c r="D57" s="14" t="s">
        <v>155</v>
      </c>
      <c r="E57" s="10" t="s">
        <v>578</v>
      </c>
      <c r="F57" s="10" t="s">
        <v>222</v>
      </c>
      <c r="G57" s="10" t="s">
        <v>533</v>
      </c>
      <c r="H57" s="10" t="s">
        <v>606</v>
      </c>
      <c r="I57" s="10" t="s">
        <v>607</v>
      </c>
      <c r="J57" s="14" t="s">
        <v>158</v>
      </c>
      <c r="K57" s="10" t="s">
        <v>359</v>
      </c>
      <c r="L57" s="14" t="s">
        <v>227</v>
      </c>
      <c r="M57" s="14" t="s">
        <v>228</v>
      </c>
      <c r="N57" s="14" t="s">
        <v>229</v>
      </c>
      <c r="O57" s="10" t="s">
        <v>230</v>
      </c>
      <c r="P57" s="10" t="s">
        <v>231</v>
      </c>
      <c r="Q57" s="10" t="s">
        <v>232</v>
      </c>
    </row>
    <row r="58" spans="1:17" ht="120" customHeight="1" x14ac:dyDescent="0.3">
      <c r="A58" s="11" t="s">
        <v>608</v>
      </c>
      <c r="B58" s="7" t="s">
        <v>609</v>
      </c>
      <c r="C58" s="7" t="s">
        <v>610</v>
      </c>
      <c r="D58" s="12" t="s">
        <v>142</v>
      </c>
      <c r="E58" s="7" t="s">
        <v>236</v>
      </c>
      <c r="F58" s="7" t="s">
        <v>237</v>
      </c>
      <c r="G58" s="7" t="s">
        <v>611</v>
      </c>
      <c r="H58" s="7" t="s">
        <v>612</v>
      </c>
      <c r="I58" s="7" t="s">
        <v>613</v>
      </c>
      <c r="J58" s="12" t="s">
        <v>158</v>
      </c>
      <c r="K58" s="7" t="s">
        <v>614</v>
      </c>
      <c r="L58" s="12" t="s">
        <v>227</v>
      </c>
      <c r="M58" s="12" t="s">
        <v>228</v>
      </c>
      <c r="N58" s="12" t="s">
        <v>229</v>
      </c>
      <c r="O58" s="7" t="s">
        <v>230</v>
      </c>
      <c r="P58" s="7" t="s">
        <v>231</v>
      </c>
      <c r="Q58" s="7" t="s">
        <v>232</v>
      </c>
    </row>
    <row r="59" spans="1:17" ht="120" customHeight="1" x14ac:dyDescent="0.3">
      <c r="A59" s="13" t="s">
        <v>615</v>
      </c>
      <c r="B59" s="10" t="s">
        <v>616</v>
      </c>
      <c r="C59" s="10" t="s">
        <v>610</v>
      </c>
      <c r="D59" s="14" t="s">
        <v>147</v>
      </c>
      <c r="E59" s="10" t="s">
        <v>236</v>
      </c>
      <c r="F59" s="10" t="s">
        <v>237</v>
      </c>
      <c r="G59" s="10" t="s">
        <v>617</v>
      </c>
      <c r="H59" s="10" t="s">
        <v>618</v>
      </c>
      <c r="I59" s="10" t="s">
        <v>619</v>
      </c>
      <c r="J59" s="14" t="s">
        <v>158</v>
      </c>
      <c r="K59" s="10" t="s">
        <v>614</v>
      </c>
      <c r="L59" s="14" t="s">
        <v>227</v>
      </c>
      <c r="M59" s="14" t="s">
        <v>228</v>
      </c>
      <c r="N59" s="14" t="s">
        <v>229</v>
      </c>
      <c r="O59" s="10" t="s">
        <v>230</v>
      </c>
      <c r="P59" s="10" t="s">
        <v>231</v>
      </c>
      <c r="Q59" s="10" t="s">
        <v>232</v>
      </c>
    </row>
    <row r="60" spans="1:17" ht="120" customHeight="1" x14ac:dyDescent="0.3">
      <c r="A60" s="11" t="s">
        <v>620</v>
      </c>
      <c r="B60" s="7" t="s">
        <v>621</v>
      </c>
      <c r="C60" s="7" t="s">
        <v>577</v>
      </c>
      <c r="D60" s="12" t="s">
        <v>142</v>
      </c>
      <c r="E60" s="7" t="s">
        <v>622</v>
      </c>
      <c r="F60" s="7" t="s">
        <v>237</v>
      </c>
      <c r="G60" s="7" t="s">
        <v>623</v>
      </c>
      <c r="H60" s="7" t="s">
        <v>624</v>
      </c>
      <c r="I60" s="7" t="s">
        <v>625</v>
      </c>
      <c r="J60" s="12" t="s">
        <v>158</v>
      </c>
      <c r="K60" s="7" t="s">
        <v>626</v>
      </c>
      <c r="L60" s="12" t="s">
        <v>227</v>
      </c>
      <c r="M60" s="12" t="s">
        <v>228</v>
      </c>
      <c r="N60" s="12" t="s">
        <v>229</v>
      </c>
      <c r="O60" s="7" t="s">
        <v>627</v>
      </c>
      <c r="P60" s="7" t="s">
        <v>231</v>
      </c>
      <c r="Q60" s="7" t="s">
        <v>232</v>
      </c>
    </row>
    <row r="61" spans="1:17" ht="120" customHeight="1" x14ac:dyDescent="0.3">
      <c r="A61" s="13" t="s">
        <v>628</v>
      </c>
      <c r="B61" s="10" t="s">
        <v>629</v>
      </c>
      <c r="C61" s="10" t="s">
        <v>630</v>
      </c>
      <c r="D61" s="14" t="s">
        <v>147</v>
      </c>
      <c r="E61" s="10" t="s">
        <v>236</v>
      </c>
      <c r="F61" s="10" t="s">
        <v>237</v>
      </c>
      <c r="G61" s="10" t="s">
        <v>631</v>
      </c>
      <c r="H61" s="10" t="s">
        <v>632</v>
      </c>
      <c r="I61" s="10" t="s">
        <v>633</v>
      </c>
      <c r="J61" s="14" t="s">
        <v>158</v>
      </c>
      <c r="K61" s="10" t="s">
        <v>359</v>
      </c>
      <c r="L61" s="14" t="s">
        <v>227</v>
      </c>
      <c r="M61" s="14" t="s">
        <v>228</v>
      </c>
      <c r="N61" s="14" t="s">
        <v>229</v>
      </c>
      <c r="O61" s="10" t="s">
        <v>230</v>
      </c>
      <c r="P61" s="10" t="s">
        <v>231</v>
      </c>
      <c r="Q61" s="10" t="s">
        <v>232</v>
      </c>
    </row>
    <row r="62" spans="1:17" ht="120" customHeight="1" x14ac:dyDescent="0.3">
      <c r="A62" s="11" t="s">
        <v>634</v>
      </c>
      <c r="B62" s="7" t="s">
        <v>635</v>
      </c>
      <c r="C62" s="7" t="s">
        <v>636</v>
      </c>
      <c r="D62" s="12" t="s">
        <v>147</v>
      </c>
      <c r="E62" s="7" t="s">
        <v>236</v>
      </c>
      <c r="F62" s="7" t="s">
        <v>237</v>
      </c>
      <c r="G62" s="7" t="s">
        <v>637</v>
      </c>
      <c r="H62" s="7" t="s">
        <v>638</v>
      </c>
      <c r="I62" s="7" t="s">
        <v>639</v>
      </c>
      <c r="J62" s="12" t="s">
        <v>158</v>
      </c>
      <c r="K62" s="7" t="s">
        <v>640</v>
      </c>
      <c r="L62" s="12" t="s">
        <v>250</v>
      </c>
      <c r="M62" s="12" t="s">
        <v>251</v>
      </c>
      <c r="N62" s="12" t="s">
        <v>267</v>
      </c>
      <c r="O62" s="7"/>
      <c r="P62" s="7"/>
      <c r="Q62" s="7"/>
    </row>
    <row r="63" spans="1:17" ht="120" customHeight="1" x14ac:dyDescent="0.3">
      <c r="A63" s="13" t="s">
        <v>641</v>
      </c>
      <c r="B63" s="10" t="s">
        <v>642</v>
      </c>
      <c r="C63" s="10" t="s">
        <v>643</v>
      </c>
      <c r="D63" s="14" t="s">
        <v>142</v>
      </c>
      <c r="E63" s="10" t="s">
        <v>622</v>
      </c>
      <c r="F63" s="10" t="s">
        <v>644</v>
      </c>
      <c r="G63" s="10" t="s">
        <v>645</v>
      </c>
      <c r="H63" s="10" t="s">
        <v>646</v>
      </c>
      <c r="I63" s="10" t="s">
        <v>647</v>
      </c>
      <c r="J63" s="14" t="s">
        <v>158</v>
      </c>
      <c r="K63" s="10" t="s">
        <v>648</v>
      </c>
      <c r="L63" s="14" t="s">
        <v>227</v>
      </c>
      <c r="M63" s="14" t="s">
        <v>251</v>
      </c>
      <c r="N63" s="14" t="s">
        <v>267</v>
      </c>
      <c r="O63" s="10" t="s">
        <v>649</v>
      </c>
      <c r="P63" s="10" t="s">
        <v>346</v>
      </c>
      <c r="Q63" s="10" t="s">
        <v>269</v>
      </c>
    </row>
    <row r="64" spans="1:17" ht="120" customHeight="1" x14ac:dyDescent="0.3">
      <c r="A64" s="11" t="s">
        <v>650</v>
      </c>
      <c r="B64" s="7" t="s">
        <v>651</v>
      </c>
      <c r="C64" s="7" t="s">
        <v>652</v>
      </c>
      <c r="D64" s="12" t="s">
        <v>147</v>
      </c>
      <c r="E64" s="7" t="s">
        <v>653</v>
      </c>
      <c r="F64" s="7" t="s">
        <v>644</v>
      </c>
      <c r="G64" s="7" t="s">
        <v>654</v>
      </c>
      <c r="H64" s="7" t="s">
        <v>655</v>
      </c>
      <c r="I64" s="7" t="s">
        <v>656</v>
      </c>
      <c r="J64" s="12" t="s">
        <v>158</v>
      </c>
      <c r="K64" s="7" t="s">
        <v>657</v>
      </c>
      <c r="L64" s="12" t="s">
        <v>250</v>
      </c>
      <c r="M64" s="12" t="s">
        <v>251</v>
      </c>
      <c r="N64" s="12" t="s">
        <v>267</v>
      </c>
      <c r="O64" s="7"/>
      <c r="P64" s="7"/>
      <c r="Q64" s="7"/>
    </row>
    <row r="65" spans="1:17" ht="120" customHeight="1" x14ac:dyDescent="0.3">
      <c r="A65" s="13" t="s">
        <v>658</v>
      </c>
      <c r="B65" s="10" t="s">
        <v>659</v>
      </c>
      <c r="C65" s="10" t="s">
        <v>660</v>
      </c>
      <c r="D65" s="14" t="s">
        <v>147</v>
      </c>
      <c r="E65" s="10" t="s">
        <v>316</v>
      </c>
      <c r="F65" s="10" t="s">
        <v>644</v>
      </c>
      <c r="G65" s="10" t="s">
        <v>661</v>
      </c>
      <c r="H65" s="10" t="s">
        <v>646</v>
      </c>
      <c r="I65" s="10" t="s">
        <v>662</v>
      </c>
      <c r="J65" s="14" t="s">
        <v>158</v>
      </c>
      <c r="K65" s="10" t="s">
        <v>663</v>
      </c>
      <c r="L65" s="14" t="s">
        <v>250</v>
      </c>
      <c r="M65" s="14" t="s">
        <v>251</v>
      </c>
      <c r="N65" s="14" t="s">
        <v>267</v>
      </c>
      <c r="O65" s="10"/>
      <c r="P65" s="10"/>
      <c r="Q65" s="10"/>
    </row>
    <row r="66" spans="1:17" ht="120" customHeight="1" x14ac:dyDescent="0.3">
      <c r="A66" s="11" t="s">
        <v>664</v>
      </c>
      <c r="B66" s="7" t="s">
        <v>665</v>
      </c>
      <c r="C66" s="7" t="s">
        <v>666</v>
      </c>
      <c r="D66" s="12" t="s">
        <v>155</v>
      </c>
      <c r="E66" s="7" t="s">
        <v>236</v>
      </c>
      <c r="F66" s="7" t="s">
        <v>644</v>
      </c>
      <c r="G66" s="7" t="s">
        <v>667</v>
      </c>
      <c r="H66" s="7" t="s">
        <v>646</v>
      </c>
      <c r="I66" s="7" t="s">
        <v>668</v>
      </c>
      <c r="J66" s="12" t="s">
        <v>158</v>
      </c>
      <c r="K66" s="7" t="s">
        <v>663</v>
      </c>
      <c r="L66" s="12" t="s">
        <v>250</v>
      </c>
      <c r="M66" s="12" t="s">
        <v>251</v>
      </c>
      <c r="N66" s="12" t="s">
        <v>267</v>
      </c>
      <c r="O66" s="7"/>
      <c r="P66" s="7"/>
      <c r="Q66" s="7"/>
    </row>
    <row r="67" spans="1:17" ht="120" customHeight="1" x14ac:dyDescent="0.3">
      <c r="A67" s="13" t="s">
        <v>669</v>
      </c>
      <c r="B67" s="10" t="s">
        <v>670</v>
      </c>
      <c r="C67" s="10" t="s">
        <v>671</v>
      </c>
      <c r="D67" s="14" t="s">
        <v>155</v>
      </c>
      <c r="E67" s="10" t="s">
        <v>672</v>
      </c>
      <c r="F67" s="10" t="s">
        <v>237</v>
      </c>
      <c r="G67" s="10" t="s">
        <v>673</v>
      </c>
      <c r="H67" s="10" t="s">
        <v>674</v>
      </c>
      <c r="I67" s="10" t="s">
        <v>675</v>
      </c>
      <c r="J67" s="14" t="s">
        <v>158</v>
      </c>
      <c r="K67" s="10" t="s">
        <v>420</v>
      </c>
      <c r="L67" s="14" t="s">
        <v>250</v>
      </c>
      <c r="M67" s="14" t="s">
        <v>251</v>
      </c>
      <c r="N67" s="14" t="s">
        <v>252</v>
      </c>
      <c r="O67" s="10"/>
      <c r="P67" s="10"/>
      <c r="Q67" s="10"/>
    </row>
    <row r="68" spans="1:17" ht="120" customHeight="1" x14ac:dyDescent="0.3">
      <c r="A68" s="11" t="s">
        <v>676</v>
      </c>
      <c r="B68" s="7" t="s">
        <v>677</v>
      </c>
      <c r="C68" s="7" t="s">
        <v>678</v>
      </c>
      <c r="D68" s="12" t="s">
        <v>155</v>
      </c>
      <c r="E68" s="7" t="s">
        <v>236</v>
      </c>
      <c r="F68" s="7" t="s">
        <v>237</v>
      </c>
      <c r="G68" s="7" t="s">
        <v>679</v>
      </c>
      <c r="H68" s="7" t="s">
        <v>258</v>
      </c>
      <c r="I68" s="7" t="s">
        <v>680</v>
      </c>
      <c r="J68" s="12" t="s">
        <v>158</v>
      </c>
      <c r="K68" s="7" t="s">
        <v>681</v>
      </c>
      <c r="L68" s="12" t="s">
        <v>250</v>
      </c>
      <c r="M68" s="12" t="s">
        <v>251</v>
      </c>
      <c r="N68" s="12" t="s">
        <v>252</v>
      </c>
      <c r="O68" s="7"/>
      <c r="P68" s="7"/>
      <c r="Q68" s="7"/>
    </row>
    <row r="69" spans="1:17" ht="120" customHeight="1" x14ac:dyDescent="0.3">
      <c r="A69" s="13" t="s">
        <v>682</v>
      </c>
      <c r="B69" s="10" t="s">
        <v>683</v>
      </c>
      <c r="C69" s="10" t="s">
        <v>684</v>
      </c>
      <c r="D69" s="14" t="s">
        <v>147</v>
      </c>
      <c r="E69" s="10" t="s">
        <v>236</v>
      </c>
      <c r="F69" s="10" t="s">
        <v>644</v>
      </c>
      <c r="G69" s="10" t="s">
        <v>685</v>
      </c>
      <c r="H69" s="10" t="s">
        <v>686</v>
      </c>
      <c r="I69" s="10" t="s">
        <v>687</v>
      </c>
      <c r="J69" s="14" t="s">
        <v>158</v>
      </c>
      <c r="K69" s="10" t="s">
        <v>688</v>
      </c>
      <c r="L69" s="14" t="s">
        <v>227</v>
      </c>
      <c r="M69" s="14" t="s">
        <v>228</v>
      </c>
      <c r="N69" s="14" t="s">
        <v>229</v>
      </c>
      <c r="O69" s="10" t="s">
        <v>230</v>
      </c>
      <c r="P69" s="10" t="s">
        <v>231</v>
      </c>
      <c r="Q69" s="10" t="s">
        <v>232</v>
      </c>
    </row>
    <row r="70" spans="1:17" ht="120" customHeight="1" x14ac:dyDescent="0.3">
      <c r="A70" s="11" t="s">
        <v>689</v>
      </c>
      <c r="B70" s="7" t="s">
        <v>690</v>
      </c>
      <c r="C70" s="7" t="s">
        <v>652</v>
      </c>
      <c r="D70" s="12" t="s">
        <v>155</v>
      </c>
      <c r="E70" s="7" t="s">
        <v>653</v>
      </c>
      <c r="F70" s="7" t="s">
        <v>644</v>
      </c>
      <c r="G70" s="7" t="s">
        <v>691</v>
      </c>
      <c r="H70" s="7" t="s">
        <v>692</v>
      </c>
      <c r="I70" s="7" t="s">
        <v>693</v>
      </c>
      <c r="J70" s="12" t="s">
        <v>158</v>
      </c>
      <c r="K70" s="7" t="s">
        <v>694</v>
      </c>
      <c r="L70" s="12" t="s">
        <v>250</v>
      </c>
      <c r="M70" s="12" t="s">
        <v>251</v>
      </c>
      <c r="N70" s="12" t="s">
        <v>252</v>
      </c>
      <c r="O70" s="7"/>
      <c r="P70" s="7"/>
      <c r="Q70" s="7"/>
    </row>
    <row r="71" spans="1:17" ht="120" customHeight="1" x14ac:dyDescent="0.3">
      <c r="A71" s="13" t="s">
        <v>695</v>
      </c>
      <c r="B71" s="10" t="s">
        <v>696</v>
      </c>
      <c r="C71" s="10" t="s">
        <v>697</v>
      </c>
      <c r="D71" s="14" t="s">
        <v>155</v>
      </c>
      <c r="E71" s="10" t="s">
        <v>236</v>
      </c>
      <c r="F71" s="10" t="s">
        <v>644</v>
      </c>
      <c r="G71" s="10" t="s">
        <v>698</v>
      </c>
      <c r="H71" s="10" t="s">
        <v>699</v>
      </c>
      <c r="I71" s="10" t="s">
        <v>700</v>
      </c>
      <c r="J71" s="14" t="s">
        <v>158</v>
      </c>
      <c r="K71" s="10" t="s">
        <v>701</v>
      </c>
      <c r="L71" s="14" t="s">
        <v>250</v>
      </c>
      <c r="M71" s="14" t="s">
        <v>251</v>
      </c>
      <c r="N71" s="14" t="s">
        <v>252</v>
      </c>
      <c r="O71" s="10"/>
      <c r="P71" s="10"/>
      <c r="Q71" s="10"/>
    </row>
    <row r="72" spans="1:17" ht="120" customHeight="1" x14ac:dyDescent="0.3">
      <c r="A72" s="11" t="s">
        <v>702</v>
      </c>
      <c r="B72" s="7" t="s">
        <v>703</v>
      </c>
      <c r="C72" s="7" t="s">
        <v>704</v>
      </c>
      <c r="D72" s="12" t="s">
        <v>155</v>
      </c>
      <c r="E72" s="7" t="s">
        <v>622</v>
      </c>
      <c r="F72" s="7" t="s">
        <v>644</v>
      </c>
      <c r="G72" s="7" t="s">
        <v>705</v>
      </c>
      <c r="H72" s="7" t="s">
        <v>706</v>
      </c>
      <c r="I72" s="7" t="s">
        <v>707</v>
      </c>
      <c r="J72" s="12" t="s">
        <v>158</v>
      </c>
      <c r="K72" s="7" t="s">
        <v>708</v>
      </c>
      <c r="L72" s="12" t="s">
        <v>250</v>
      </c>
      <c r="M72" s="12" t="s">
        <v>251</v>
      </c>
      <c r="N72" s="12" t="s">
        <v>252</v>
      </c>
      <c r="O72" s="7"/>
      <c r="P72" s="7"/>
      <c r="Q72" s="7"/>
    </row>
    <row r="73" spans="1:17" ht="120" customHeight="1" x14ac:dyDescent="0.3">
      <c r="A73" s="13" t="s">
        <v>709</v>
      </c>
      <c r="B73" s="10" t="s">
        <v>710</v>
      </c>
      <c r="C73" s="10" t="s">
        <v>711</v>
      </c>
      <c r="D73" s="14" t="s">
        <v>147</v>
      </c>
      <c r="E73" s="10" t="s">
        <v>236</v>
      </c>
      <c r="F73" s="10" t="s">
        <v>644</v>
      </c>
      <c r="G73" s="10" t="s">
        <v>712</v>
      </c>
      <c r="H73" s="10" t="s">
        <v>713</v>
      </c>
      <c r="I73" s="10" t="s">
        <v>714</v>
      </c>
      <c r="J73" s="14" t="s">
        <v>158</v>
      </c>
      <c r="K73" s="10" t="s">
        <v>715</v>
      </c>
      <c r="L73" s="14" t="s">
        <v>227</v>
      </c>
      <c r="M73" s="14" t="s">
        <v>228</v>
      </c>
      <c r="N73" s="14" t="s">
        <v>229</v>
      </c>
      <c r="O73" s="10" t="s">
        <v>716</v>
      </c>
      <c r="P73" s="10" t="s">
        <v>231</v>
      </c>
      <c r="Q73" s="10" t="s">
        <v>232</v>
      </c>
    </row>
    <row r="74" spans="1:17" ht="120" customHeight="1" x14ac:dyDescent="0.3">
      <c r="A74" s="11" t="s">
        <v>717</v>
      </c>
      <c r="B74" s="7" t="s">
        <v>718</v>
      </c>
      <c r="C74" s="7" t="s">
        <v>610</v>
      </c>
      <c r="D74" s="12" t="s">
        <v>147</v>
      </c>
      <c r="E74" s="7" t="s">
        <v>236</v>
      </c>
      <c r="F74" s="7" t="s">
        <v>644</v>
      </c>
      <c r="G74" s="7" t="s">
        <v>719</v>
      </c>
      <c r="H74" s="7" t="s">
        <v>720</v>
      </c>
      <c r="I74" s="7" t="s">
        <v>721</v>
      </c>
      <c r="J74" s="12" t="s">
        <v>158</v>
      </c>
      <c r="K74" s="7" t="s">
        <v>614</v>
      </c>
      <c r="L74" s="12" t="s">
        <v>227</v>
      </c>
      <c r="M74" s="12" t="s">
        <v>228</v>
      </c>
      <c r="N74" s="12" t="s">
        <v>229</v>
      </c>
      <c r="O74" s="7" t="s">
        <v>230</v>
      </c>
      <c r="P74" s="7" t="s">
        <v>231</v>
      </c>
      <c r="Q74" s="7" t="s">
        <v>232</v>
      </c>
    </row>
    <row r="75" spans="1:17" ht="120" customHeight="1" x14ac:dyDescent="0.3">
      <c r="A75" s="13" t="s">
        <v>722</v>
      </c>
      <c r="B75" s="10" t="s">
        <v>723</v>
      </c>
      <c r="C75" s="10" t="s">
        <v>724</v>
      </c>
      <c r="D75" s="14" t="s">
        <v>147</v>
      </c>
      <c r="E75" s="10" t="s">
        <v>236</v>
      </c>
      <c r="F75" s="10" t="s">
        <v>644</v>
      </c>
      <c r="G75" s="10" t="s">
        <v>725</v>
      </c>
      <c r="H75" s="10" t="s">
        <v>726</v>
      </c>
      <c r="I75" s="10" t="s">
        <v>727</v>
      </c>
      <c r="J75" s="14" t="s">
        <v>158</v>
      </c>
      <c r="K75" s="10" t="s">
        <v>614</v>
      </c>
      <c r="L75" s="14" t="s">
        <v>227</v>
      </c>
      <c r="M75" s="14" t="s">
        <v>228</v>
      </c>
      <c r="N75" s="14" t="s">
        <v>229</v>
      </c>
      <c r="O75" s="10" t="s">
        <v>728</v>
      </c>
      <c r="P75" s="10" t="s">
        <v>231</v>
      </c>
      <c r="Q75" s="10" t="s">
        <v>232</v>
      </c>
    </row>
    <row r="76" spans="1:17" ht="120" customHeight="1" x14ac:dyDescent="0.3">
      <c r="A76" s="11" t="s">
        <v>729</v>
      </c>
      <c r="B76" s="7" t="s">
        <v>730</v>
      </c>
      <c r="C76" s="7" t="s">
        <v>731</v>
      </c>
      <c r="D76" s="12" t="s">
        <v>147</v>
      </c>
      <c r="E76" s="7" t="s">
        <v>653</v>
      </c>
      <c r="F76" s="7" t="s">
        <v>644</v>
      </c>
      <c r="G76" s="7" t="s">
        <v>732</v>
      </c>
      <c r="H76" s="7" t="s">
        <v>733</v>
      </c>
      <c r="I76" s="7" t="s">
        <v>734</v>
      </c>
      <c r="J76" s="12" t="s">
        <v>158</v>
      </c>
      <c r="K76" s="7" t="s">
        <v>735</v>
      </c>
      <c r="L76" s="12" t="s">
        <v>250</v>
      </c>
      <c r="M76" s="12" t="s">
        <v>251</v>
      </c>
      <c r="N76" s="12" t="s">
        <v>267</v>
      </c>
      <c r="O76" s="7"/>
      <c r="P76" s="7"/>
      <c r="Q76" s="7"/>
    </row>
    <row r="77" spans="1:17" ht="120" customHeight="1" x14ac:dyDescent="0.3">
      <c r="A77" s="13" t="s">
        <v>736</v>
      </c>
      <c r="B77" s="10" t="s">
        <v>737</v>
      </c>
      <c r="C77" s="10" t="s">
        <v>610</v>
      </c>
      <c r="D77" s="14" t="s">
        <v>155</v>
      </c>
      <c r="E77" s="10" t="s">
        <v>236</v>
      </c>
      <c r="F77" s="10" t="s">
        <v>644</v>
      </c>
      <c r="G77" s="10" t="s">
        <v>738</v>
      </c>
      <c r="H77" s="10" t="s">
        <v>739</v>
      </c>
      <c r="I77" s="10" t="s">
        <v>740</v>
      </c>
      <c r="J77" s="14" t="s">
        <v>158</v>
      </c>
      <c r="K77" s="10" t="s">
        <v>741</v>
      </c>
      <c r="L77" s="14" t="s">
        <v>250</v>
      </c>
      <c r="M77" s="14" t="s">
        <v>251</v>
      </c>
      <c r="N77" s="14" t="s">
        <v>252</v>
      </c>
      <c r="O77" s="10"/>
      <c r="P77" s="10"/>
      <c r="Q77" s="10"/>
    </row>
    <row r="78" spans="1:17" ht="120" customHeight="1" x14ac:dyDescent="0.3">
      <c r="A78" s="11" t="s">
        <v>742</v>
      </c>
      <c r="B78" s="7" t="s">
        <v>743</v>
      </c>
      <c r="C78" s="7" t="s">
        <v>610</v>
      </c>
      <c r="D78" s="12" t="s">
        <v>155</v>
      </c>
      <c r="E78" s="7" t="s">
        <v>236</v>
      </c>
      <c r="F78" s="7" t="s">
        <v>644</v>
      </c>
      <c r="G78" s="7" t="s">
        <v>744</v>
      </c>
      <c r="H78" s="7" t="s">
        <v>745</v>
      </c>
      <c r="I78" s="7" t="s">
        <v>746</v>
      </c>
      <c r="J78" s="12" t="s">
        <v>158</v>
      </c>
      <c r="K78" s="7" t="s">
        <v>747</v>
      </c>
      <c r="L78" s="12" t="s">
        <v>250</v>
      </c>
      <c r="M78" s="12" t="s">
        <v>251</v>
      </c>
      <c r="N78" s="12" t="s">
        <v>252</v>
      </c>
      <c r="O78" s="7"/>
      <c r="P78" s="7"/>
      <c r="Q78" s="7"/>
    </row>
    <row r="79" spans="1:17" ht="120" customHeight="1" x14ac:dyDescent="0.3">
      <c r="A79" s="13" t="s">
        <v>748</v>
      </c>
      <c r="B79" s="10" t="s">
        <v>749</v>
      </c>
      <c r="C79" s="10" t="s">
        <v>750</v>
      </c>
      <c r="D79" s="14" t="s">
        <v>155</v>
      </c>
      <c r="E79" s="10" t="s">
        <v>236</v>
      </c>
      <c r="F79" s="10" t="s">
        <v>644</v>
      </c>
      <c r="G79" s="10" t="s">
        <v>751</v>
      </c>
      <c r="H79" s="10" t="s">
        <v>258</v>
      </c>
      <c r="I79" s="10" t="s">
        <v>752</v>
      </c>
      <c r="J79" s="14" t="s">
        <v>158</v>
      </c>
      <c r="K79" s="10" t="s">
        <v>460</v>
      </c>
      <c r="L79" s="14" t="s">
        <v>250</v>
      </c>
      <c r="M79" s="14" t="s">
        <v>251</v>
      </c>
      <c r="N79" s="14" t="s">
        <v>252</v>
      </c>
      <c r="O79" s="10"/>
      <c r="P79" s="10"/>
      <c r="Q79" s="10"/>
    </row>
    <row r="80" spans="1:17" ht="120" customHeight="1" x14ac:dyDescent="0.3">
      <c r="A80" s="11" t="s">
        <v>753</v>
      </c>
      <c r="B80" s="7" t="s">
        <v>754</v>
      </c>
      <c r="C80" s="7" t="s">
        <v>755</v>
      </c>
      <c r="D80" s="12" t="s">
        <v>155</v>
      </c>
      <c r="E80" s="7" t="s">
        <v>236</v>
      </c>
      <c r="F80" s="7" t="s">
        <v>644</v>
      </c>
      <c r="G80" s="7" t="s">
        <v>756</v>
      </c>
      <c r="H80" s="7" t="s">
        <v>757</v>
      </c>
      <c r="I80" s="7" t="s">
        <v>758</v>
      </c>
      <c r="J80" s="12" t="s">
        <v>158</v>
      </c>
      <c r="K80" s="7" t="s">
        <v>759</v>
      </c>
      <c r="L80" s="12" t="s">
        <v>250</v>
      </c>
      <c r="M80" s="12" t="s">
        <v>251</v>
      </c>
      <c r="N80" s="12" t="s">
        <v>252</v>
      </c>
      <c r="O80" s="7"/>
      <c r="P80" s="7"/>
      <c r="Q80" s="7"/>
    </row>
    <row r="81" spans="1:17" ht="120" customHeight="1" x14ac:dyDescent="0.3">
      <c r="A81" s="13" t="s">
        <v>760</v>
      </c>
      <c r="B81" s="10" t="s">
        <v>761</v>
      </c>
      <c r="C81" s="10" t="s">
        <v>762</v>
      </c>
      <c r="D81" s="14" t="s">
        <v>256</v>
      </c>
      <c r="E81" s="10" t="s">
        <v>59</v>
      </c>
      <c r="F81" s="10" t="s">
        <v>644</v>
      </c>
      <c r="G81" s="10" t="s">
        <v>763</v>
      </c>
      <c r="H81" s="10" t="s">
        <v>764</v>
      </c>
      <c r="I81" s="10" t="s">
        <v>765</v>
      </c>
      <c r="J81" s="14" t="s">
        <v>158</v>
      </c>
      <c r="K81" s="10" t="s">
        <v>249</v>
      </c>
      <c r="L81" s="14" t="s">
        <v>250</v>
      </c>
      <c r="M81" s="14" t="s">
        <v>251</v>
      </c>
      <c r="N81" s="14" t="s">
        <v>252</v>
      </c>
      <c r="O81" s="10"/>
      <c r="P81" s="10"/>
      <c r="Q81" s="10"/>
    </row>
    <row r="82" spans="1:17" ht="78.75" customHeight="1" x14ac:dyDescent="0.3">
      <c r="A82" s="11" t="s">
        <v>766</v>
      </c>
      <c r="B82" s="7" t="s">
        <v>767</v>
      </c>
      <c r="C82" s="7" t="s">
        <v>768</v>
      </c>
      <c r="D82" s="12" t="s">
        <v>155</v>
      </c>
      <c r="E82" s="7" t="s">
        <v>464</v>
      </c>
      <c r="F82" s="7" t="s">
        <v>222</v>
      </c>
      <c r="G82" s="7" t="s">
        <v>533</v>
      </c>
      <c r="H82" s="7" t="s">
        <v>769</v>
      </c>
      <c r="I82" s="7" t="s">
        <v>535</v>
      </c>
      <c r="J82" s="12" t="s">
        <v>161</v>
      </c>
      <c r="K82" s="7" t="s">
        <v>770</v>
      </c>
      <c r="L82" s="12" t="s">
        <v>227</v>
      </c>
      <c r="M82" s="12" t="s">
        <v>228</v>
      </c>
      <c r="N82" s="12" t="s">
        <v>229</v>
      </c>
      <c r="O82" s="7" t="s">
        <v>230</v>
      </c>
      <c r="P82" s="7" t="s">
        <v>231</v>
      </c>
      <c r="Q82" s="7" t="s">
        <v>232</v>
      </c>
    </row>
    <row r="83" spans="1:17" ht="160.5" customHeight="1" x14ac:dyDescent="0.3">
      <c r="A83" s="13" t="s">
        <v>771</v>
      </c>
      <c r="B83" s="10" t="s">
        <v>772</v>
      </c>
      <c r="C83" s="10" t="s">
        <v>773</v>
      </c>
      <c r="D83" s="14" t="s">
        <v>155</v>
      </c>
      <c r="E83" s="10" t="s">
        <v>464</v>
      </c>
      <c r="F83" s="10" t="s">
        <v>416</v>
      </c>
      <c r="G83" s="10" t="s">
        <v>774</v>
      </c>
      <c r="H83" s="10" t="s">
        <v>258</v>
      </c>
      <c r="I83" s="10" t="s">
        <v>775</v>
      </c>
      <c r="J83" s="14" t="s">
        <v>161</v>
      </c>
      <c r="K83" s="10" t="s">
        <v>460</v>
      </c>
      <c r="L83" s="14" t="s">
        <v>250</v>
      </c>
      <c r="M83" s="14" t="s">
        <v>251</v>
      </c>
      <c r="N83" s="14" t="s">
        <v>252</v>
      </c>
      <c r="O83" s="10"/>
      <c r="P83" s="10"/>
      <c r="Q83" s="10"/>
    </row>
    <row r="84" spans="1:17" ht="120" customHeight="1" x14ac:dyDescent="0.3">
      <c r="A84" s="11" t="s">
        <v>776</v>
      </c>
      <c r="B84" s="7" t="s">
        <v>777</v>
      </c>
      <c r="C84" s="7" t="s">
        <v>778</v>
      </c>
      <c r="D84" s="12" t="s">
        <v>142</v>
      </c>
      <c r="E84" s="7" t="s">
        <v>221</v>
      </c>
      <c r="F84" s="7" t="s">
        <v>237</v>
      </c>
      <c r="G84" s="7" t="s">
        <v>779</v>
      </c>
      <c r="H84" s="7" t="s">
        <v>780</v>
      </c>
      <c r="I84" s="7" t="s">
        <v>781</v>
      </c>
      <c r="J84" s="12" t="s">
        <v>161</v>
      </c>
      <c r="K84" s="7" t="s">
        <v>782</v>
      </c>
      <c r="L84" s="12" t="s">
        <v>227</v>
      </c>
      <c r="M84" s="12" t="s">
        <v>228</v>
      </c>
      <c r="N84" s="12" t="s">
        <v>229</v>
      </c>
      <c r="O84" s="7" t="s">
        <v>783</v>
      </c>
      <c r="P84" s="7" t="s">
        <v>231</v>
      </c>
      <c r="Q84" s="7" t="s">
        <v>232</v>
      </c>
    </row>
    <row r="85" spans="1:17" ht="160.5" customHeight="1" x14ac:dyDescent="0.3">
      <c r="A85" s="13" t="s">
        <v>784</v>
      </c>
      <c r="B85" s="10" t="s">
        <v>785</v>
      </c>
      <c r="C85" s="10" t="s">
        <v>786</v>
      </c>
      <c r="D85" s="14" t="s">
        <v>147</v>
      </c>
      <c r="E85" s="10" t="s">
        <v>236</v>
      </c>
      <c r="F85" s="10" t="s">
        <v>787</v>
      </c>
      <c r="G85" s="10" t="s">
        <v>788</v>
      </c>
      <c r="H85" s="10" t="s">
        <v>789</v>
      </c>
      <c r="I85" s="10" t="s">
        <v>790</v>
      </c>
      <c r="J85" s="14" t="s">
        <v>161</v>
      </c>
      <c r="K85" s="10" t="s">
        <v>359</v>
      </c>
      <c r="L85" s="14" t="s">
        <v>227</v>
      </c>
      <c r="M85" s="14" t="s">
        <v>228</v>
      </c>
      <c r="N85" s="14" t="s">
        <v>229</v>
      </c>
      <c r="O85" s="10" t="s">
        <v>230</v>
      </c>
      <c r="P85" s="10" t="s">
        <v>231</v>
      </c>
      <c r="Q85" s="10" t="s">
        <v>232</v>
      </c>
    </row>
    <row r="86" spans="1:17" ht="147" customHeight="1" x14ac:dyDescent="0.3">
      <c r="A86" s="11" t="s">
        <v>791</v>
      </c>
      <c r="B86" s="7" t="s">
        <v>792</v>
      </c>
      <c r="C86" s="7" t="s">
        <v>793</v>
      </c>
      <c r="D86" s="12" t="s">
        <v>147</v>
      </c>
      <c r="E86" s="7" t="s">
        <v>236</v>
      </c>
      <c r="F86" s="7" t="s">
        <v>794</v>
      </c>
      <c r="G86" s="7" t="s">
        <v>795</v>
      </c>
      <c r="H86" s="7" t="s">
        <v>796</v>
      </c>
      <c r="I86" s="7" t="s">
        <v>797</v>
      </c>
      <c r="J86" s="12" t="s">
        <v>161</v>
      </c>
      <c r="K86" s="7" t="s">
        <v>460</v>
      </c>
      <c r="L86" s="12" t="s">
        <v>250</v>
      </c>
      <c r="M86" s="12" t="s">
        <v>251</v>
      </c>
      <c r="N86" s="12" t="s">
        <v>252</v>
      </c>
      <c r="O86" s="7"/>
      <c r="P86" s="7"/>
      <c r="Q86" s="7"/>
    </row>
    <row r="87" spans="1:17" ht="105.75" customHeight="1" x14ac:dyDescent="0.3">
      <c r="A87" s="13" t="s">
        <v>798</v>
      </c>
      <c r="B87" s="10" t="s">
        <v>799</v>
      </c>
      <c r="C87" s="10" t="s">
        <v>800</v>
      </c>
      <c r="D87" s="14" t="s">
        <v>147</v>
      </c>
      <c r="E87" s="10" t="s">
        <v>464</v>
      </c>
      <c r="F87" s="10" t="s">
        <v>801</v>
      </c>
      <c r="G87" s="10" t="s">
        <v>802</v>
      </c>
      <c r="H87" s="10" t="s">
        <v>258</v>
      </c>
      <c r="I87" s="10" t="s">
        <v>803</v>
      </c>
      <c r="J87" s="14" t="s">
        <v>161</v>
      </c>
      <c r="K87" s="10" t="s">
        <v>420</v>
      </c>
      <c r="L87" s="14" t="s">
        <v>250</v>
      </c>
      <c r="M87" s="14" t="s">
        <v>251</v>
      </c>
      <c r="N87" s="14" t="s">
        <v>252</v>
      </c>
      <c r="O87" s="10"/>
      <c r="P87" s="10"/>
      <c r="Q87" s="10"/>
    </row>
    <row r="88" spans="1:17" ht="105.75" customHeight="1" x14ac:dyDescent="0.3">
      <c r="A88" s="11" t="s">
        <v>804</v>
      </c>
      <c r="B88" s="7" t="s">
        <v>805</v>
      </c>
      <c r="C88" s="7" t="s">
        <v>806</v>
      </c>
      <c r="D88" s="12" t="s">
        <v>147</v>
      </c>
      <c r="E88" s="7" t="s">
        <v>236</v>
      </c>
      <c r="F88" s="7" t="s">
        <v>807</v>
      </c>
      <c r="G88" s="7" t="s">
        <v>808</v>
      </c>
      <c r="H88" s="7" t="s">
        <v>809</v>
      </c>
      <c r="I88" s="7" t="s">
        <v>810</v>
      </c>
      <c r="J88" s="12" t="s">
        <v>161</v>
      </c>
      <c r="K88" s="7" t="s">
        <v>420</v>
      </c>
      <c r="L88" s="12" t="s">
        <v>250</v>
      </c>
      <c r="M88" s="12" t="s">
        <v>251</v>
      </c>
      <c r="N88" s="12" t="s">
        <v>252</v>
      </c>
      <c r="O88" s="7"/>
      <c r="P88" s="7"/>
      <c r="Q88" s="7"/>
    </row>
    <row r="89" spans="1:17" ht="160.5" customHeight="1" x14ac:dyDescent="0.3">
      <c r="A89" s="13" t="s">
        <v>811</v>
      </c>
      <c r="B89" s="10" t="s">
        <v>812</v>
      </c>
      <c r="C89" s="10" t="s">
        <v>813</v>
      </c>
      <c r="D89" s="14" t="s">
        <v>155</v>
      </c>
      <c r="E89" s="10" t="s">
        <v>236</v>
      </c>
      <c r="F89" s="10" t="s">
        <v>416</v>
      </c>
      <c r="G89" s="10" t="s">
        <v>814</v>
      </c>
      <c r="H89" s="10" t="s">
        <v>258</v>
      </c>
      <c r="I89" s="10" t="s">
        <v>815</v>
      </c>
      <c r="J89" s="14" t="s">
        <v>161</v>
      </c>
      <c r="K89" s="10" t="s">
        <v>816</v>
      </c>
      <c r="L89" s="14" t="s">
        <v>250</v>
      </c>
      <c r="M89" s="14" t="s">
        <v>251</v>
      </c>
      <c r="N89" s="14" t="s">
        <v>252</v>
      </c>
      <c r="O89" s="10"/>
      <c r="P89" s="10"/>
      <c r="Q89" s="10"/>
    </row>
    <row r="90" spans="1:17" ht="160.5" customHeight="1" x14ac:dyDescent="0.3">
      <c r="A90" s="11" t="s">
        <v>817</v>
      </c>
      <c r="B90" s="7" t="s">
        <v>818</v>
      </c>
      <c r="C90" s="7" t="s">
        <v>819</v>
      </c>
      <c r="D90" s="12" t="s">
        <v>155</v>
      </c>
      <c r="E90" s="7" t="s">
        <v>236</v>
      </c>
      <c r="F90" s="7" t="s">
        <v>416</v>
      </c>
      <c r="G90" s="7" t="s">
        <v>820</v>
      </c>
      <c r="H90" s="7" t="s">
        <v>258</v>
      </c>
      <c r="I90" s="7" t="s">
        <v>821</v>
      </c>
      <c r="J90" s="12" t="s">
        <v>161</v>
      </c>
      <c r="K90" s="7" t="s">
        <v>420</v>
      </c>
      <c r="L90" s="12" t="s">
        <v>250</v>
      </c>
      <c r="M90" s="12" t="s">
        <v>251</v>
      </c>
      <c r="N90" s="12" t="s">
        <v>252</v>
      </c>
      <c r="O90" s="7"/>
      <c r="P90" s="7"/>
      <c r="Q90" s="7"/>
    </row>
    <row r="91" spans="1:17" ht="174.75" customHeight="1" x14ac:dyDescent="0.3">
      <c r="A91" s="13" t="s">
        <v>822</v>
      </c>
      <c r="B91" s="10" t="s">
        <v>823</v>
      </c>
      <c r="C91" s="10" t="s">
        <v>824</v>
      </c>
      <c r="D91" s="14" t="s">
        <v>147</v>
      </c>
      <c r="E91" s="10" t="s">
        <v>316</v>
      </c>
      <c r="F91" s="10" t="s">
        <v>825</v>
      </c>
      <c r="G91" s="10" t="s">
        <v>826</v>
      </c>
      <c r="H91" s="10" t="s">
        <v>258</v>
      </c>
      <c r="I91" s="10" t="s">
        <v>827</v>
      </c>
      <c r="J91" s="14" t="s">
        <v>161</v>
      </c>
      <c r="K91" s="10" t="s">
        <v>828</v>
      </c>
      <c r="L91" s="14" t="s">
        <v>227</v>
      </c>
      <c r="M91" s="14" t="s">
        <v>251</v>
      </c>
      <c r="N91" s="14" t="s">
        <v>267</v>
      </c>
      <c r="O91" s="10" t="s">
        <v>829</v>
      </c>
      <c r="P91" s="10" t="s">
        <v>231</v>
      </c>
      <c r="Q91" s="10" t="s">
        <v>830</v>
      </c>
    </row>
    <row r="92" spans="1:17" ht="160.5" customHeight="1" x14ac:dyDescent="0.3">
      <c r="A92" s="11" t="s">
        <v>831</v>
      </c>
      <c r="B92" s="7" t="s">
        <v>832</v>
      </c>
      <c r="C92" s="7" t="s">
        <v>833</v>
      </c>
      <c r="D92" s="12" t="s">
        <v>155</v>
      </c>
      <c r="E92" s="7" t="s">
        <v>236</v>
      </c>
      <c r="F92" s="7" t="s">
        <v>416</v>
      </c>
      <c r="G92" s="7" t="s">
        <v>834</v>
      </c>
      <c r="H92" s="7" t="s">
        <v>258</v>
      </c>
      <c r="I92" s="7" t="s">
        <v>835</v>
      </c>
      <c r="J92" s="12" t="s">
        <v>161</v>
      </c>
      <c r="K92" s="7" t="s">
        <v>249</v>
      </c>
      <c r="L92" s="12" t="s">
        <v>250</v>
      </c>
      <c r="M92" s="12" t="s">
        <v>251</v>
      </c>
      <c r="N92" s="12" t="s">
        <v>252</v>
      </c>
      <c r="O92" s="7"/>
      <c r="P92" s="7"/>
      <c r="Q92" s="7"/>
    </row>
    <row r="93" spans="1:17" ht="147" customHeight="1" x14ac:dyDescent="0.3">
      <c r="A93" s="13" t="s">
        <v>836</v>
      </c>
      <c r="B93" s="10" t="s">
        <v>837</v>
      </c>
      <c r="C93" s="10" t="s">
        <v>838</v>
      </c>
      <c r="D93" s="14" t="s">
        <v>147</v>
      </c>
      <c r="E93" s="10" t="s">
        <v>236</v>
      </c>
      <c r="F93" s="10" t="s">
        <v>839</v>
      </c>
      <c r="G93" s="10" t="s">
        <v>840</v>
      </c>
      <c r="H93" s="10" t="s">
        <v>796</v>
      </c>
      <c r="I93" s="10" t="s">
        <v>841</v>
      </c>
      <c r="J93" s="14" t="s">
        <v>161</v>
      </c>
      <c r="K93" s="10" t="s">
        <v>842</v>
      </c>
      <c r="L93" s="14" t="s">
        <v>227</v>
      </c>
      <c r="M93" s="14" t="s">
        <v>228</v>
      </c>
      <c r="N93" s="14" t="s">
        <v>229</v>
      </c>
      <c r="O93" s="10" t="s">
        <v>843</v>
      </c>
      <c r="P93" s="10" t="s">
        <v>231</v>
      </c>
      <c r="Q93" s="10" t="s">
        <v>232</v>
      </c>
    </row>
    <row r="94" spans="1:17" ht="147" customHeight="1" x14ac:dyDescent="0.3">
      <c r="A94" s="11" t="s">
        <v>844</v>
      </c>
      <c r="B94" s="7" t="s">
        <v>845</v>
      </c>
      <c r="C94" s="7" t="s">
        <v>838</v>
      </c>
      <c r="D94" s="12" t="s">
        <v>147</v>
      </c>
      <c r="E94" s="7" t="s">
        <v>236</v>
      </c>
      <c r="F94" s="7" t="s">
        <v>839</v>
      </c>
      <c r="G94" s="7" t="s">
        <v>846</v>
      </c>
      <c r="H94" s="7" t="s">
        <v>796</v>
      </c>
      <c r="I94" s="7" t="s">
        <v>847</v>
      </c>
      <c r="J94" s="12" t="s">
        <v>161</v>
      </c>
      <c r="K94" s="7" t="s">
        <v>848</v>
      </c>
      <c r="L94" s="12" t="s">
        <v>250</v>
      </c>
      <c r="M94" s="12" t="s">
        <v>251</v>
      </c>
      <c r="N94" s="12" t="s">
        <v>267</v>
      </c>
      <c r="O94" s="7"/>
      <c r="P94" s="7"/>
      <c r="Q94" s="7"/>
    </row>
    <row r="95" spans="1:17" ht="147" customHeight="1" x14ac:dyDescent="0.3">
      <c r="A95" s="13" t="s">
        <v>849</v>
      </c>
      <c r="B95" s="10" t="s">
        <v>850</v>
      </c>
      <c r="C95" s="10" t="s">
        <v>851</v>
      </c>
      <c r="D95" s="14" t="s">
        <v>155</v>
      </c>
      <c r="E95" s="10" t="s">
        <v>59</v>
      </c>
      <c r="F95" s="10" t="s">
        <v>852</v>
      </c>
      <c r="G95" s="10" t="s">
        <v>853</v>
      </c>
      <c r="H95" s="10" t="s">
        <v>258</v>
      </c>
      <c r="I95" s="10" t="s">
        <v>854</v>
      </c>
      <c r="J95" s="14" t="s">
        <v>161</v>
      </c>
      <c r="K95" s="10" t="s">
        <v>332</v>
      </c>
      <c r="L95" s="14" t="s">
        <v>250</v>
      </c>
      <c r="M95" s="14" t="s">
        <v>251</v>
      </c>
      <c r="N95" s="14" t="s">
        <v>252</v>
      </c>
      <c r="O95" s="10"/>
      <c r="P95" s="10"/>
      <c r="Q95" s="10"/>
    </row>
    <row r="96" spans="1:17" ht="133.5" customHeight="1" x14ac:dyDescent="0.3">
      <c r="A96" s="11" t="s">
        <v>855</v>
      </c>
      <c r="B96" s="7" t="s">
        <v>856</v>
      </c>
      <c r="C96" s="7" t="s">
        <v>857</v>
      </c>
      <c r="D96" s="12" t="s">
        <v>155</v>
      </c>
      <c r="E96" s="7" t="s">
        <v>464</v>
      </c>
      <c r="F96" s="7" t="s">
        <v>858</v>
      </c>
      <c r="G96" s="7" t="s">
        <v>774</v>
      </c>
      <c r="H96" s="7" t="s">
        <v>258</v>
      </c>
      <c r="I96" s="7" t="s">
        <v>859</v>
      </c>
      <c r="J96" s="12" t="s">
        <v>163</v>
      </c>
      <c r="K96" s="7" t="s">
        <v>391</v>
      </c>
      <c r="L96" s="12" t="s">
        <v>227</v>
      </c>
      <c r="M96" s="12" t="s">
        <v>251</v>
      </c>
      <c r="N96" s="12" t="s">
        <v>252</v>
      </c>
      <c r="O96" s="7" t="s">
        <v>860</v>
      </c>
      <c r="P96" s="7" t="s">
        <v>231</v>
      </c>
      <c r="Q96" s="7" t="s">
        <v>269</v>
      </c>
    </row>
    <row r="97" spans="1:17" ht="160.5" customHeight="1" x14ac:dyDescent="0.3">
      <c r="A97" s="13" t="s">
        <v>861</v>
      </c>
      <c r="B97" s="10" t="s">
        <v>862</v>
      </c>
      <c r="C97" s="10" t="s">
        <v>863</v>
      </c>
      <c r="D97" s="14" t="s">
        <v>147</v>
      </c>
      <c r="E97" s="10" t="s">
        <v>236</v>
      </c>
      <c r="F97" s="10" t="s">
        <v>864</v>
      </c>
      <c r="G97" s="10" t="s">
        <v>865</v>
      </c>
      <c r="H97" s="10" t="s">
        <v>258</v>
      </c>
      <c r="I97" s="10" t="s">
        <v>866</v>
      </c>
      <c r="J97" s="14" t="s">
        <v>163</v>
      </c>
      <c r="K97" s="10" t="s">
        <v>344</v>
      </c>
      <c r="L97" s="14" t="s">
        <v>250</v>
      </c>
      <c r="M97" s="14" t="s">
        <v>251</v>
      </c>
      <c r="N97" s="14" t="s">
        <v>267</v>
      </c>
      <c r="O97" s="10"/>
      <c r="P97" s="10"/>
      <c r="Q97" s="10"/>
    </row>
    <row r="98" spans="1:17" ht="147" customHeight="1" x14ac:dyDescent="0.3">
      <c r="A98" s="11" t="s">
        <v>867</v>
      </c>
      <c r="B98" s="7" t="s">
        <v>868</v>
      </c>
      <c r="C98" s="7" t="s">
        <v>869</v>
      </c>
      <c r="D98" s="12" t="s">
        <v>147</v>
      </c>
      <c r="E98" s="7" t="s">
        <v>578</v>
      </c>
      <c r="F98" s="7" t="s">
        <v>870</v>
      </c>
      <c r="G98" s="7" t="s">
        <v>871</v>
      </c>
      <c r="H98" s="7" t="s">
        <v>872</v>
      </c>
      <c r="I98" s="7" t="s">
        <v>873</v>
      </c>
      <c r="J98" s="12" t="s">
        <v>91</v>
      </c>
      <c r="K98" s="7" t="s">
        <v>874</v>
      </c>
      <c r="L98" s="12" t="s">
        <v>227</v>
      </c>
      <c r="M98" s="12" t="s">
        <v>251</v>
      </c>
      <c r="N98" s="12" t="s">
        <v>267</v>
      </c>
      <c r="O98" s="7" t="s">
        <v>875</v>
      </c>
      <c r="P98" s="7" t="s">
        <v>231</v>
      </c>
      <c r="Q98" s="7" t="s">
        <v>830</v>
      </c>
    </row>
    <row r="99" spans="1:17" ht="133.5" customHeight="1" x14ac:dyDescent="0.3">
      <c r="A99" s="13" t="s">
        <v>876</v>
      </c>
      <c r="B99" s="10" t="s">
        <v>877</v>
      </c>
      <c r="C99" s="10" t="s">
        <v>878</v>
      </c>
      <c r="D99" s="14" t="s">
        <v>155</v>
      </c>
      <c r="E99" s="10" t="s">
        <v>578</v>
      </c>
      <c r="F99" s="10" t="s">
        <v>879</v>
      </c>
      <c r="G99" s="10" t="s">
        <v>880</v>
      </c>
      <c r="H99" s="10" t="s">
        <v>881</v>
      </c>
      <c r="I99" s="10" t="s">
        <v>882</v>
      </c>
      <c r="J99" s="14" t="s">
        <v>91</v>
      </c>
      <c r="K99" s="10" t="s">
        <v>883</v>
      </c>
      <c r="L99" s="14" t="s">
        <v>227</v>
      </c>
      <c r="M99" s="14" t="s">
        <v>251</v>
      </c>
      <c r="N99" s="14" t="s">
        <v>252</v>
      </c>
      <c r="O99" s="10" t="s">
        <v>884</v>
      </c>
      <c r="P99" s="10" t="s">
        <v>231</v>
      </c>
      <c r="Q99" s="10" t="s">
        <v>269</v>
      </c>
    </row>
    <row r="100" spans="1:17" ht="120" customHeight="1" x14ac:dyDescent="0.3">
      <c r="A100" s="11" t="s">
        <v>885</v>
      </c>
      <c r="B100" s="7" t="s">
        <v>886</v>
      </c>
      <c r="C100" s="7" t="s">
        <v>887</v>
      </c>
      <c r="D100" s="12" t="s">
        <v>155</v>
      </c>
      <c r="E100" s="7" t="s">
        <v>578</v>
      </c>
      <c r="F100" s="7" t="s">
        <v>888</v>
      </c>
      <c r="G100" s="7" t="s">
        <v>889</v>
      </c>
      <c r="H100" s="7" t="s">
        <v>890</v>
      </c>
      <c r="I100" s="7" t="s">
        <v>891</v>
      </c>
      <c r="J100" s="12" t="s">
        <v>91</v>
      </c>
      <c r="K100" s="7" t="s">
        <v>460</v>
      </c>
      <c r="L100" s="12" t="s">
        <v>250</v>
      </c>
      <c r="M100" s="12" t="s">
        <v>251</v>
      </c>
      <c r="N100" s="12" t="s">
        <v>252</v>
      </c>
      <c r="O100" s="7"/>
      <c r="P100" s="7"/>
      <c r="Q100" s="7"/>
    </row>
    <row r="101" spans="1:17" ht="174.75" customHeight="1" x14ac:dyDescent="0.3">
      <c r="A101" s="13" t="s">
        <v>892</v>
      </c>
      <c r="B101" s="10" t="s">
        <v>893</v>
      </c>
      <c r="C101" s="10" t="s">
        <v>894</v>
      </c>
      <c r="D101" s="14" t="s">
        <v>155</v>
      </c>
      <c r="E101" s="10" t="s">
        <v>395</v>
      </c>
      <c r="F101" s="10" t="s">
        <v>895</v>
      </c>
      <c r="G101" s="10" t="s">
        <v>896</v>
      </c>
      <c r="H101" s="10" t="s">
        <v>258</v>
      </c>
      <c r="I101" s="10" t="s">
        <v>897</v>
      </c>
      <c r="J101" s="14" t="s">
        <v>91</v>
      </c>
      <c r="K101" s="10" t="s">
        <v>828</v>
      </c>
      <c r="L101" s="14" t="s">
        <v>227</v>
      </c>
      <c r="M101" s="14" t="s">
        <v>251</v>
      </c>
      <c r="N101" s="14" t="s">
        <v>267</v>
      </c>
      <c r="O101" s="10" t="s">
        <v>875</v>
      </c>
      <c r="P101" s="10" t="s">
        <v>231</v>
      </c>
      <c r="Q101" s="10" t="s">
        <v>830</v>
      </c>
    </row>
    <row r="102" spans="1:17" ht="160.5" customHeight="1" x14ac:dyDescent="0.3">
      <c r="A102" s="11" t="s">
        <v>898</v>
      </c>
      <c r="B102" s="7" t="s">
        <v>899</v>
      </c>
      <c r="C102" s="7" t="s">
        <v>900</v>
      </c>
      <c r="D102" s="12" t="s">
        <v>142</v>
      </c>
      <c r="E102" s="7" t="s">
        <v>221</v>
      </c>
      <c r="F102" s="7" t="s">
        <v>825</v>
      </c>
      <c r="G102" s="7" t="s">
        <v>901</v>
      </c>
      <c r="H102" s="7" t="s">
        <v>780</v>
      </c>
      <c r="I102" s="7" t="s">
        <v>902</v>
      </c>
      <c r="J102" s="12" t="s">
        <v>91</v>
      </c>
      <c r="K102" s="7" t="s">
        <v>903</v>
      </c>
      <c r="L102" s="12" t="s">
        <v>227</v>
      </c>
      <c r="M102" s="12" t="s">
        <v>251</v>
      </c>
      <c r="N102" s="12" t="s">
        <v>267</v>
      </c>
      <c r="O102" s="7" t="s">
        <v>904</v>
      </c>
      <c r="P102" s="7" t="s">
        <v>231</v>
      </c>
      <c r="Q102" s="7" t="s">
        <v>830</v>
      </c>
    </row>
    <row r="103" spans="1:17" ht="133.5" customHeight="1" x14ac:dyDescent="0.3">
      <c r="A103" s="13" t="s">
        <v>905</v>
      </c>
      <c r="B103" s="10" t="s">
        <v>906</v>
      </c>
      <c r="C103" s="10" t="s">
        <v>907</v>
      </c>
      <c r="D103" s="14" t="s">
        <v>142</v>
      </c>
      <c r="E103" s="10" t="s">
        <v>236</v>
      </c>
      <c r="F103" s="10" t="s">
        <v>870</v>
      </c>
      <c r="G103" s="10" t="s">
        <v>908</v>
      </c>
      <c r="H103" s="10" t="s">
        <v>909</v>
      </c>
      <c r="I103" s="10" t="s">
        <v>910</v>
      </c>
      <c r="J103" s="14" t="s">
        <v>91</v>
      </c>
      <c r="K103" s="10" t="s">
        <v>911</v>
      </c>
      <c r="L103" s="14" t="s">
        <v>227</v>
      </c>
      <c r="M103" s="14" t="s">
        <v>251</v>
      </c>
      <c r="N103" s="14" t="s">
        <v>267</v>
      </c>
      <c r="O103" s="10" t="s">
        <v>912</v>
      </c>
      <c r="P103" s="10" t="s">
        <v>346</v>
      </c>
      <c r="Q103" s="10" t="s">
        <v>269</v>
      </c>
    </row>
    <row r="104" spans="1:17" ht="133.5" customHeight="1" x14ac:dyDescent="0.3">
      <c r="A104" s="11" t="s">
        <v>913</v>
      </c>
      <c r="B104" s="7" t="s">
        <v>914</v>
      </c>
      <c r="C104" s="7" t="s">
        <v>915</v>
      </c>
      <c r="D104" s="12" t="s">
        <v>147</v>
      </c>
      <c r="E104" s="7" t="s">
        <v>236</v>
      </c>
      <c r="F104" s="7" t="s">
        <v>916</v>
      </c>
      <c r="G104" s="7" t="s">
        <v>917</v>
      </c>
      <c r="H104" s="7" t="s">
        <v>918</v>
      </c>
      <c r="I104" s="7" t="s">
        <v>919</v>
      </c>
      <c r="J104" s="12" t="s">
        <v>91</v>
      </c>
      <c r="K104" s="7" t="s">
        <v>920</v>
      </c>
      <c r="L104" s="12" t="s">
        <v>250</v>
      </c>
      <c r="M104" s="12" t="s">
        <v>251</v>
      </c>
      <c r="N104" s="12" t="s">
        <v>267</v>
      </c>
      <c r="O104" s="7"/>
      <c r="P104" s="7"/>
      <c r="Q104" s="7"/>
    </row>
    <row r="105" spans="1:17" ht="174.75" customHeight="1" x14ac:dyDescent="0.3">
      <c r="A105" s="13" t="s">
        <v>921</v>
      </c>
      <c r="B105" s="10" t="s">
        <v>922</v>
      </c>
      <c r="C105" s="10" t="s">
        <v>923</v>
      </c>
      <c r="D105" s="14" t="s">
        <v>142</v>
      </c>
      <c r="E105" s="10" t="s">
        <v>236</v>
      </c>
      <c r="F105" s="10" t="s">
        <v>895</v>
      </c>
      <c r="G105" s="10" t="s">
        <v>924</v>
      </c>
      <c r="H105" s="10" t="s">
        <v>925</v>
      </c>
      <c r="I105" s="10" t="s">
        <v>926</v>
      </c>
      <c r="J105" s="14" t="s">
        <v>91</v>
      </c>
      <c r="K105" s="10" t="s">
        <v>828</v>
      </c>
      <c r="L105" s="14" t="s">
        <v>227</v>
      </c>
      <c r="M105" s="14" t="s">
        <v>251</v>
      </c>
      <c r="N105" s="14" t="s">
        <v>267</v>
      </c>
      <c r="O105" s="10" t="s">
        <v>927</v>
      </c>
      <c r="P105" s="10" t="s">
        <v>231</v>
      </c>
      <c r="Q105" s="10" t="s">
        <v>830</v>
      </c>
    </row>
    <row r="106" spans="1:17" ht="105.75" customHeight="1" x14ac:dyDescent="0.3">
      <c r="A106" s="11" t="s">
        <v>928</v>
      </c>
      <c r="B106" s="7" t="s">
        <v>929</v>
      </c>
      <c r="C106" s="7" t="s">
        <v>930</v>
      </c>
      <c r="D106" s="12" t="s">
        <v>142</v>
      </c>
      <c r="E106" s="7" t="s">
        <v>236</v>
      </c>
      <c r="F106" s="7" t="s">
        <v>931</v>
      </c>
      <c r="G106" s="7" t="s">
        <v>932</v>
      </c>
      <c r="H106" s="7" t="s">
        <v>933</v>
      </c>
      <c r="I106" s="7" t="s">
        <v>934</v>
      </c>
      <c r="J106" s="12" t="s">
        <v>91</v>
      </c>
      <c r="K106" s="7" t="s">
        <v>935</v>
      </c>
      <c r="L106" s="12" t="s">
        <v>227</v>
      </c>
      <c r="M106" s="12" t="s">
        <v>251</v>
      </c>
      <c r="N106" s="12" t="s">
        <v>267</v>
      </c>
      <c r="O106" s="7" t="s">
        <v>936</v>
      </c>
      <c r="P106" s="7" t="s">
        <v>346</v>
      </c>
      <c r="Q106" s="7" t="s">
        <v>269</v>
      </c>
    </row>
    <row r="107" spans="1:17" ht="174.75" customHeight="1" x14ac:dyDescent="0.3">
      <c r="A107" s="13" t="s">
        <v>937</v>
      </c>
      <c r="B107" s="10" t="s">
        <v>938</v>
      </c>
      <c r="C107" s="10" t="s">
        <v>939</v>
      </c>
      <c r="D107" s="14" t="s">
        <v>147</v>
      </c>
      <c r="E107" s="10" t="s">
        <v>236</v>
      </c>
      <c r="F107" s="10" t="s">
        <v>888</v>
      </c>
      <c r="G107" s="10" t="s">
        <v>940</v>
      </c>
      <c r="H107" s="10" t="s">
        <v>258</v>
      </c>
      <c r="I107" s="10" t="s">
        <v>941</v>
      </c>
      <c r="J107" s="14" t="s">
        <v>91</v>
      </c>
      <c r="K107" s="10" t="s">
        <v>828</v>
      </c>
      <c r="L107" s="14" t="s">
        <v>227</v>
      </c>
      <c r="M107" s="14" t="s">
        <v>251</v>
      </c>
      <c r="N107" s="14" t="s">
        <v>267</v>
      </c>
      <c r="O107" s="10" t="s">
        <v>875</v>
      </c>
      <c r="P107" s="10" t="s">
        <v>231</v>
      </c>
      <c r="Q107" s="10" t="s">
        <v>830</v>
      </c>
    </row>
    <row r="108" spans="1:17" ht="147" customHeight="1" x14ac:dyDescent="0.3">
      <c r="A108" s="11" t="s">
        <v>942</v>
      </c>
      <c r="B108" s="7" t="s">
        <v>943</v>
      </c>
      <c r="C108" s="7" t="s">
        <v>944</v>
      </c>
      <c r="D108" s="12" t="s">
        <v>147</v>
      </c>
      <c r="E108" s="7" t="s">
        <v>485</v>
      </c>
      <c r="F108" s="7" t="s">
        <v>825</v>
      </c>
      <c r="G108" s="7" t="s">
        <v>945</v>
      </c>
      <c r="H108" s="7" t="s">
        <v>780</v>
      </c>
      <c r="I108" s="7" t="s">
        <v>946</v>
      </c>
      <c r="J108" s="12" t="s">
        <v>91</v>
      </c>
      <c r="K108" s="7" t="s">
        <v>947</v>
      </c>
      <c r="L108" s="12" t="s">
        <v>250</v>
      </c>
      <c r="M108" s="12" t="s">
        <v>251</v>
      </c>
      <c r="N108" s="12" t="s">
        <v>267</v>
      </c>
      <c r="O108" s="7"/>
      <c r="P108" s="7"/>
      <c r="Q108" s="7"/>
    </row>
    <row r="109" spans="1:17" ht="120" customHeight="1" x14ac:dyDescent="0.3">
      <c r="A109" s="13" t="s">
        <v>948</v>
      </c>
      <c r="B109" s="10" t="s">
        <v>949</v>
      </c>
      <c r="C109" s="10" t="s">
        <v>950</v>
      </c>
      <c r="D109" s="14" t="s">
        <v>155</v>
      </c>
      <c r="E109" s="10" t="s">
        <v>236</v>
      </c>
      <c r="F109" s="10" t="s">
        <v>931</v>
      </c>
      <c r="G109" s="10" t="s">
        <v>951</v>
      </c>
      <c r="H109" s="10" t="s">
        <v>952</v>
      </c>
      <c r="I109" s="10" t="s">
        <v>953</v>
      </c>
      <c r="J109" s="14" t="s">
        <v>91</v>
      </c>
      <c r="K109" s="10" t="s">
        <v>359</v>
      </c>
      <c r="L109" s="14" t="s">
        <v>227</v>
      </c>
      <c r="M109" s="14" t="s">
        <v>228</v>
      </c>
      <c r="N109" s="14" t="s">
        <v>229</v>
      </c>
      <c r="O109" s="10" t="s">
        <v>230</v>
      </c>
      <c r="P109" s="10" t="s">
        <v>231</v>
      </c>
      <c r="Q109" s="10" t="s">
        <v>232</v>
      </c>
    </row>
    <row r="110" spans="1:17" ht="120" customHeight="1" x14ac:dyDescent="0.3">
      <c r="A110" s="11" t="s">
        <v>954</v>
      </c>
      <c r="B110" s="7" t="s">
        <v>955</v>
      </c>
      <c r="C110" s="7" t="s">
        <v>956</v>
      </c>
      <c r="D110" s="12" t="s">
        <v>155</v>
      </c>
      <c r="E110" s="7" t="s">
        <v>236</v>
      </c>
      <c r="F110" s="7" t="s">
        <v>957</v>
      </c>
      <c r="G110" s="7" t="s">
        <v>958</v>
      </c>
      <c r="H110" s="7" t="s">
        <v>780</v>
      </c>
      <c r="I110" s="7" t="s">
        <v>959</v>
      </c>
      <c r="J110" s="12" t="s">
        <v>91</v>
      </c>
      <c r="K110" s="7" t="s">
        <v>249</v>
      </c>
      <c r="L110" s="12" t="s">
        <v>250</v>
      </c>
      <c r="M110" s="12" t="s">
        <v>251</v>
      </c>
      <c r="N110" s="12" t="s">
        <v>252</v>
      </c>
      <c r="O110" s="7"/>
      <c r="P110" s="7"/>
      <c r="Q110" s="7"/>
    </row>
    <row r="111" spans="1:17" ht="133.5" customHeight="1" x14ac:dyDescent="0.3">
      <c r="A111" s="13" t="s">
        <v>960</v>
      </c>
      <c r="B111" s="10" t="s">
        <v>961</v>
      </c>
      <c r="C111" s="10" t="s">
        <v>962</v>
      </c>
      <c r="D111" s="14" t="s">
        <v>155</v>
      </c>
      <c r="E111" s="10" t="s">
        <v>236</v>
      </c>
      <c r="F111" s="10" t="s">
        <v>963</v>
      </c>
      <c r="G111" s="10" t="s">
        <v>964</v>
      </c>
      <c r="H111" s="10" t="s">
        <v>965</v>
      </c>
      <c r="I111" s="10" t="s">
        <v>966</v>
      </c>
      <c r="J111" s="14" t="s">
        <v>91</v>
      </c>
      <c r="K111" s="10" t="s">
        <v>420</v>
      </c>
      <c r="L111" s="14" t="s">
        <v>250</v>
      </c>
      <c r="M111" s="14" t="s">
        <v>251</v>
      </c>
      <c r="N111" s="14" t="s">
        <v>252</v>
      </c>
      <c r="O111" s="10"/>
      <c r="P111" s="10"/>
      <c r="Q111" s="10"/>
    </row>
    <row r="112" spans="1:17" ht="160.5" customHeight="1" x14ac:dyDescent="0.3">
      <c r="A112" s="11" t="s">
        <v>967</v>
      </c>
      <c r="B112" s="7" t="s">
        <v>968</v>
      </c>
      <c r="C112" s="7" t="s">
        <v>969</v>
      </c>
      <c r="D112" s="12" t="s">
        <v>147</v>
      </c>
      <c r="E112" s="7" t="s">
        <v>236</v>
      </c>
      <c r="F112" s="7" t="s">
        <v>970</v>
      </c>
      <c r="G112" s="7" t="s">
        <v>971</v>
      </c>
      <c r="H112" s="7" t="s">
        <v>972</v>
      </c>
      <c r="I112" s="7" t="s">
        <v>973</v>
      </c>
      <c r="J112" s="12" t="s">
        <v>91</v>
      </c>
      <c r="K112" s="7" t="s">
        <v>974</v>
      </c>
      <c r="L112" s="12" t="s">
        <v>227</v>
      </c>
      <c r="M112" s="12" t="s">
        <v>251</v>
      </c>
      <c r="N112" s="12" t="s">
        <v>267</v>
      </c>
      <c r="O112" s="7" t="s">
        <v>975</v>
      </c>
      <c r="P112" s="7" t="s">
        <v>231</v>
      </c>
      <c r="Q112" s="7" t="s">
        <v>830</v>
      </c>
    </row>
    <row r="113" spans="1:17" ht="147" customHeight="1" x14ac:dyDescent="0.3">
      <c r="A113" s="13" t="s">
        <v>976</v>
      </c>
      <c r="B113" s="10" t="s">
        <v>977</v>
      </c>
      <c r="C113" s="10" t="s">
        <v>978</v>
      </c>
      <c r="D113" s="14" t="s">
        <v>147</v>
      </c>
      <c r="E113" s="10" t="s">
        <v>316</v>
      </c>
      <c r="F113" s="10" t="s">
        <v>979</v>
      </c>
      <c r="G113" s="10" t="s">
        <v>980</v>
      </c>
      <c r="H113" s="10" t="s">
        <v>780</v>
      </c>
      <c r="I113" s="10" t="s">
        <v>981</v>
      </c>
      <c r="J113" s="14" t="s">
        <v>167</v>
      </c>
      <c r="K113" s="10" t="s">
        <v>344</v>
      </c>
      <c r="L113" s="14" t="s">
        <v>250</v>
      </c>
      <c r="M113" s="14" t="s">
        <v>251</v>
      </c>
      <c r="N113" s="14" t="s">
        <v>267</v>
      </c>
      <c r="O113" s="10"/>
      <c r="P113" s="10"/>
      <c r="Q113" s="10"/>
    </row>
    <row r="114" spans="1:17" ht="147" customHeight="1" x14ac:dyDescent="0.3">
      <c r="A114" s="11" t="s">
        <v>982</v>
      </c>
      <c r="B114" s="7" t="s">
        <v>983</v>
      </c>
      <c r="C114" s="7" t="s">
        <v>984</v>
      </c>
      <c r="D114" s="12" t="s">
        <v>147</v>
      </c>
      <c r="E114" s="7" t="s">
        <v>236</v>
      </c>
      <c r="F114" s="7" t="s">
        <v>985</v>
      </c>
      <c r="G114" s="7" t="s">
        <v>986</v>
      </c>
      <c r="H114" s="7" t="s">
        <v>780</v>
      </c>
      <c r="I114" s="7" t="s">
        <v>987</v>
      </c>
      <c r="J114" s="12" t="s">
        <v>167</v>
      </c>
      <c r="K114" s="7" t="s">
        <v>344</v>
      </c>
      <c r="L114" s="12" t="s">
        <v>250</v>
      </c>
      <c r="M114" s="12" t="s">
        <v>251</v>
      </c>
      <c r="N114" s="12" t="s">
        <v>267</v>
      </c>
      <c r="O114" s="7"/>
      <c r="P114" s="7"/>
      <c r="Q114" s="7"/>
    </row>
    <row r="115" spans="1:17" ht="120" customHeight="1" x14ac:dyDescent="0.3">
      <c r="A115" s="13" t="s">
        <v>988</v>
      </c>
      <c r="B115" s="10" t="s">
        <v>989</v>
      </c>
      <c r="C115" s="10" t="s">
        <v>990</v>
      </c>
      <c r="D115" s="14" t="s">
        <v>147</v>
      </c>
      <c r="E115" s="10" t="s">
        <v>316</v>
      </c>
      <c r="F115" s="10" t="s">
        <v>991</v>
      </c>
      <c r="G115" s="10" t="s">
        <v>992</v>
      </c>
      <c r="H115" s="10" t="s">
        <v>258</v>
      </c>
      <c r="I115" s="10" t="s">
        <v>993</v>
      </c>
      <c r="J115" s="14" t="s">
        <v>167</v>
      </c>
      <c r="K115" s="10" t="s">
        <v>391</v>
      </c>
      <c r="L115" s="14" t="s">
        <v>250</v>
      </c>
      <c r="M115" s="14" t="s">
        <v>251</v>
      </c>
      <c r="N115" s="14" t="s">
        <v>252</v>
      </c>
      <c r="O115" s="10"/>
      <c r="P115" s="10"/>
      <c r="Q115" s="10"/>
    </row>
    <row r="116" spans="1:17" ht="147" customHeight="1" x14ac:dyDescent="0.3">
      <c r="A116" s="11" t="s">
        <v>994</v>
      </c>
      <c r="B116" s="7" t="s">
        <v>995</v>
      </c>
      <c r="C116" s="7" t="s">
        <v>996</v>
      </c>
      <c r="D116" s="12" t="s">
        <v>155</v>
      </c>
      <c r="E116" s="7" t="s">
        <v>236</v>
      </c>
      <c r="F116" s="7" t="s">
        <v>997</v>
      </c>
      <c r="G116" s="7" t="s">
        <v>998</v>
      </c>
      <c r="H116" s="7" t="s">
        <v>258</v>
      </c>
      <c r="I116" s="7" t="s">
        <v>999</v>
      </c>
      <c r="J116" s="12" t="s">
        <v>167</v>
      </c>
      <c r="K116" s="7" t="s">
        <v>391</v>
      </c>
      <c r="L116" s="12" t="s">
        <v>250</v>
      </c>
      <c r="M116" s="12" t="s">
        <v>251</v>
      </c>
      <c r="N116" s="12" t="s">
        <v>252</v>
      </c>
      <c r="O116" s="7"/>
      <c r="P116" s="7"/>
      <c r="Q116" s="7"/>
    </row>
    <row r="117" spans="1:17" ht="133.5" customHeight="1" x14ac:dyDescent="0.3">
      <c r="A117" s="13" t="s">
        <v>1000</v>
      </c>
      <c r="B117" s="10" t="s">
        <v>1001</v>
      </c>
      <c r="C117" s="10" t="s">
        <v>1002</v>
      </c>
      <c r="D117" s="14" t="s">
        <v>147</v>
      </c>
      <c r="E117" s="10" t="s">
        <v>236</v>
      </c>
      <c r="F117" s="10" t="s">
        <v>1003</v>
      </c>
      <c r="G117" s="10" t="s">
        <v>1004</v>
      </c>
      <c r="H117" s="10" t="s">
        <v>780</v>
      </c>
      <c r="I117" s="10" t="s">
        <v>1005</v>
      </c>
      <c r="J117" s="14" t="s">
        <v>107</v>
      </c>
      <c r="K117" s="10" t="s">
        <v>474</v>
      </c>
      <c r="L117" s="14" t="s">
        <v>227</v>
      </c>
      <c r="M117" s="14" t="s">
        <v>228</v>
      </c>
      <c r="N117" s="14" t="s">
        <v>229</v>
      </c>
      <c r="O117" s="10" t="s">
        <v>1006</v>
      </c>
      <c r="P117" s="10" t="s">
        <v>231</v>
      </c>
      <c r="Q117" s="10" t="s">
        <v>232</v>
      </c>
    </row>
    <row r="118" spans="1:17" ht="105.75" customHeight="1" x14ac:dyDescent="0.3">
      <c r="A118" s="11" t="s">
        <v>1007</v>
      </c>
      <c r="B118" s="7" t="s">
        <v>1008</v>
      </c>
      <c r="C118" s="7" t="s">
        <v>1009</v>
      </c>
      <c r="D118" s="12" t="s">
        <v>147</v>
      </c>
      <c r="E118" s="7" t="s">
        <v>236</v>
      </c>
      <c r="F118" s="7" t="s">
        <v>1010</v>
      </c>
      <c r="G118" s="7" t="s">
        <v>1011</v>
      </c>
      <c r="H118" s="7" t="s">
        <v>258</v>
      </c>
      <c r="I118" s="7" t="s">
        <v>1012</v>
      </c>
      <c r="J118" s="12" t="s">
        <v>107</v>
      </c>
      <c r="K118" s="7" t="s">
        <v>474</v>
      </c>
      <c r="L118" s="12" t="s">
        <v>227</v>
      </c>
      <c r="M118" s="12" t="s">
        <v>228</v>
      </c>
      <c r="N118" s="12" t="s">
        <v>229</v>
      </c>
      <c r="O118" s="7" t="s">
        <v>230</v>
      </c>
      <c r="P118" s="7" t="s">
        <v>231</v>
      </c>
      <c r="Q118" s="7" t="s">
        <v>232</v>
      </c>
    </row>
    <row r="119" spans="1:17" ht="105.75" customHeight="1" x14ac:dyDescent="0.3">
      <c r="A119" s="13" t="s">
        <v>1013</v>
      </c>
      <c r="B119" s="10" t="s">
        <v>1014</v>
      </c>
      <c r="C119" s="10" t="s">
        <v>1015</v>
      </c>
      <c r="D119" s="14" t="s">
        <v>155</v>
      </c>
      <c r="E119" s="10" t="s">
        <v>236</v>
      </c>
      <c r="F119" s="10" t="s">
        <v>1016</v>
      </c>
      <c r="G119" s="10" t="s">
        <v>1017</v>
      </c>
      <c r="H119" s="10" t="s">
        <v>258</v>
      </c>
      <c r="I119" s="10" t="s">
        <v>1018</v>
      </c>
      <c r="J119" s="14" t="s">
        <v>107</v>
      </c>
      <c r="K119" s="10" t="s">
        <v>474</v>
      </c>
      <c r="L119" s="14" t="s">
        <v>227</v>
      </c>
      <c r="M119" s="14" t="s">
        <v>228</v>
      </c>
      <c r="N119" s="14" t="s">
        <v>229</v>
      </c>
      <c r="O119" s="10" t="s">
        <v>230</v>
      </c>
      <c r="P119" s="10" t="s">
        <v>231</v>
      </c>
      <c r="Q119" s="10" t="s">
        <v>232</v>
      </c>
    </row>
    <row r="120" spans="1:17" ht="160.5" customHeight="1" x14ac:dyDescent="0.3">
      <c r="A120" s="11" t="s">
        <v>1019</v>
      </c>
      <c r="B120" s="7" t="s">
        <v>1020</v>
      </c>
      <c r="C120" s="7" t="s">
        <v>1021</v>
      </c>
      <c r="D120" s="12" t="s">
        <v>147</v>
      </c>
      <c r="E120" s="7" t="s">
        <v>236</v>
      </c>
      <c r="F120" s="7" t="s">
        <v>1022</v>
      </c>
      <c r="G120" s="7" t="s">
        <v>1023</v>
      </c>
      <c r="H120" s="7" t="s">
        <v>780</v>
      </c>
      <c r="I120" s="7" t="s">
        <v>1024</v>
      </c>
      <c r="J120" s="12" t="s">
        <v>170</v>
      </c>
      <c r="K120" s="7" t="s">
        <v>344</v>
      </c>
      <c r="L120" s="12" t="s">
        <v>250</v>
      </c>
      <c r="M120" s="12" t="s">
        <v>251</v>
      </c>
      <c r="N120" s="12" t="s">
        <v>267</v>
      </c>
      <c r="O120" s="7"/>
      <c r="P120" s="7"/>
      <c r="Q120" s="7"/>
    </row>
    <row r="121" spans="1:17" ht="133.5" customHeight="1" x14ac:dyDescent="0.3">
      <c r="A121" s="13" t="s">
        <v>1025</v>
      </c>
      <c r="B121" s="10" t="s">
        <v>1026</v>
      </c>
      <c r="C121" s="10" t="s">
        <v>1027</v>
      </c>
      <c r="D121" s="14" t="s">
        <v>147</v>
      </c>
      <c r="E121" s="10" t="s">
        <v>236</v>
      </c>
      <c r="F121" s="10" t="s">
        <v>1028</v>
      </c>
      <c r="G121" s="10" t="s">
        <v>1029</v>
      </c>
      <c r="H121" s="10" t="s">
        <v>258</v>
      </c>
      <c r="I121" s="10" t="s">
        <v>1030</v>
      </c>
      <c r="J121" s="14" t="s">
        <v>170</v>
      </c>
      <c r="K121" s="10" t="s">
        <v>344</v>
      </c>
      <c r="L121" s="14" t="s">
        <v>250</v>
      </c>
      <c r="M121" s="14" t="s">
        <v>251</v>
      </c>
      <c r="N121" s="14" t="s">
        <v>267</v>
      </c>
      <c r="O121" s="10"/>
      <c r="P121" s="10"/>
      <c r="Q121" s="10"/>
    </row>
    <row r="122" spans="1:17" ht="120" customHeight="1" x14ac:dyDescent="0.3">
      <c r="A122" s="11" t="s">
        <v>1031</v>
      </c>
      <c r="B122" s="7" t="s">
        <v>1032</v>
      </c>
      <c r="C122" s="7" t="s">
        <v>1033</v>
      </c>
      <c r="D122" s="12" t="s">
        <v>147</v>
      </c>
      <c r="E122" s="7" t="s">
        <v>316</v>
      </c>
      <c r="F122" s="7" t="s">
        <v>1034</v>
      </c>
      <c r="G122" s="7" t="s">
        <v>1035</v>
      </c>
      <c r="H122" s="7" t="s">
        <v>258</v>
      </c>
      <c r="I122" s="7" t="s">
        <v>1036</v>
      </c>
      <c r="J122" s="12" t="s">
        <v>170</v>
      </c>
      <c r="K122" s="7" t="s">
        <v>391</v>
      </c>
      <c r="L122" s="12" t="s">
        <v>250</v>
      </c>
      <c r="M122" s="12" t="s">
        <v>251</v>
      </c>
      <c r="N122" s="12" t="s">
        <v>252</v>
      </c>
      <c r="O122" s="7"/>
      <c r="P122" s="7"/>
      <c r="Q122" s="7"/>
    </row>
    <row r="123" spans="1:17" ht="133.5" customHeight="1" x14ac:dyDescent="0.3">
      <c r="A123" s="13" t="s">
        <v>1037</v>
      </c>
      <c r="B123" s="10" t="s">
        <v>1038</v>
      </c>
      <c r="C123" s="10" t="s">
        <v>1039</v>
      </c>
      <c r="D123" s="14" t="s">
        <v>155</v>
      </c>
      <c r="E123" s="10" t="s">
        <v>236</v>
      </c>
      <c r="F123" s="10" t="s">
        <v>1040</v>
      </c>
      <c r="G123" s="10" t="s">
        <v>1041</v>
      </c>
      <c r="H123" s="10" t="s">
        <v>258</v>
      </c>
      <c r="I123" s="10" t="s">
        <v>1042</v>
      </c>
      <c r="J123" s="14" t="s">
        <v>170</v>
      </c>
      <c r="K123" s="10" t="s">
        <v>391</v>
      </c>
      <c r="L123" s="14" t="s">
        <v>250</v>
      </c>
      <c r="M123" s="14" t="s">
        <v>251</v>
      </c>
      <c r="N123" s="14" t="s">
        <v>252</v>
      </c>
      <c r="O123" s="10"/>
      <c r="P123" s="10"/>
      <c r="Q123" s="10"/>
    </row>
    <row r="124" spans="1:17" ht="120" customHeight="1" x14ac:dyDescent="0.3">
      <c r="A124" s="11" t="s">
        <v>1043</v>
      </c>
      <c r="B124" s="7" t="s">
        <v>1044</v>
      </c>
      <c r="C124" s="7" t="s">
        <v>1045</v>
      </c>
      <c r="D124" s="12" t="s">
        <v>155</v>
      </c>
      <c r="E124" s="7" t="s">
        <v>236</v>
      </c>
      <c r="F124" s="7" t="s">
        <v>1046</v>
      </c>
      <c r="G124" s="7" t="s">
        <v>1047</v>
      </c>
      <c r="H124" s="7" t="s">
        <v>258</v>
      </c>
      <c r="I124" s="7" t="s">
        <v>1048</v>
      </c>
      <c r="J124" s="12" t="s">
        <v>170</v>
      </c>
      <c r="K124" s="7" t="s">
        <v>391</v>
      </c>
      <c r="L124" s="12" t="s">
        <v>250</v>
      </c>
      <c r="M124" s="12" t="s">
        <v>251</v>
      </c>
      <c r="N124" s="12" t="s">
        <v>252</v>
      </c>
      <c r="O124" s="7"/>
      <c r="P124" s="7"/>
      <c r="Q124" s="7"/>
    </row>
    <row r="125" spans="1:17" ht="120" customHeight="1" x14ac:dyDescent="0.3">
      <c r="A125" s="13" t="s">
        <v>1049</v>
      </c>
      <c r="B125" s="10" t="s">
        <v>1050</v>
      </c>
      <c r="C125" s="10" t="s">
        <v>1051</v>
      </c>
      <c r="D125" s="14" t="s">
        <v>147</v>
      </c>
      <c r="E125" s="10" t="s">
        <v>316</v>
      </c>
      <c r="F125" s="10" t="s">
        <v>1052</v>
      </c>
      <c r="G125" s="10" t="s">
        <v>1053</v>
      </c>
      <c r="H125" s="10" t="s">
        <v>780</v>
      </c>
      <c r="I125" s="10" t="s">
        <v>1054</v>
      </c>
      <c r="J125" s="14" t="s">
        <v>170</v>
      </c>
      <c r="K125" s="10" t="s">
        <v>1055</v>
      </c>
      <c r="L125" s="14" t="s">
        <v>227</v>
      </c>
      <c r="M125" s="14" t="s">
        <v>251</v>
      </c>
      <c r="N125" s="14" t="s">
        <v>267</v>
      </c>
      <c r="O125" s="10" t="s">
        <v>1056</v>
      </c>
      <c r="P125" s="10" t="s">
        <v>231</v>
      </c>
      <c r="Q125" s="10" t="s">
        <v>269</v>
      </c>
    </row>
    <row r="126" spans="1:17" ht="105.75" customHeight="1" x14ac:dyDescent="0.3">
      <c r="A126" s="11" t="s">
        <v>1057</v>
      </c>
      <c r="B126" s="7" t="s">
        <v>1058</v>
      </c>
      <c r="C126" s="7" t="s">
        <v>1059</v>
      </c>
      <c r="D126" s="12" t="s">
        <v>142</v>
      </c>
      <c r="E126" s="7" t="s">
        <v>578</v>
      </c>
      <c r="F126" s="7" t="s">
        <v>1060</v>
      </c>
      <c r="G126" s="7" t="s">
        <v>1061</v>
      </c>
      <c r="H126" s="7" t="s">
        <v>1062</v>
      </c>
      <c r="I126" s="7" t="s">
        <v>1063</v>
      </c>
      <c r="J126" s="12" t="s">
        <v>172</v>
      </c>
      <c r="K126" s="7" t="s">
        <v>1064</v>
      </c>
      <c r="L126" s="12" t="s">
        <v>227</v>
      </c>
      <c r="M126" s="12" t="s">
        <v>228</v>
      </c>
      <c r="N126" s="12" t="s">
        <v>229</v>
      </c>
      <c r="O126" s="7" t="s">
        <v>1065</v>
      </c>
      <c r="P126" s="7" t="s">
        <v>231</v>
      </c>
      <c r="Q126" s="7" t="s">
        <v>232</v>
      </c>
    </row>
    <row r="127" spans="1:17" ht="105.75" customHeight="1" x14ac:dyDescent="0.3">
      <c r="A127" s="13" t="s">
        <v>1066</v>
      </c>
      <c r="B127" s="10" t="s">
        <v>1067</v>
      </c>
      <c r="C127" s="10" t="s">
        <v>1059</v>
      </c>
      <c r="D127" s="14" t="s">
        <v>142</v>
      </c>
      <c r="E127" s="10" t="s">
        <v>1068</v>
      </c>
      <c r="F127" s="10" t="s">
        <v>1060</v>
      </c>
      <c r="G127" s="10" t="s">
        <v>1069</v>
      </c>
      <c r="H127" s="10" t="s">
        <v>1070</v>
      </c>
      <c r="I127" s="10" t="s">
        <v>1071</v>
      </c>
      <c r="J127" s="14" t="s">
        <v>172</v>
      </c>
      <c r="K127" s="10" t="s">
        <v>1072</v>
      </c>
      <c r="L127" s="14" t="s">
        <v>227</v>
      </c>
      <c r="M127" s="14" t="s">
        <v>251</v>
      </c>
      <c r="N127" s="14" t="s">
        <v>267</v>
      </c>
      <c r="O127" s="10" t="s">
        <v>1073</v>
      </c>
      <c r="P127" s="10" t="s">
        <v>231</v>
      </c>
      <c r="Q127" s="10" t="s">
        <v>269</v>
      </c>
    </row>
    <row r="128" spans="1:17" ht="105.75" customHeight="1" x14ac:dyDescent="0.3">
      <c r="A128" s="11" t="s">
        <v>1074</v>
      </c>
      <c r="B128" s="7" t="s">
        <v>1075</v>
      </c>
      <c r="C128" s="7" t="s">
        <v>1059</v>
      </c>
      <c r="D128" s="12" t="s">
        <v>147</v>
      </c>
      <c r="E128" s="7" t="s">
        <v>578</v>
      </c>
      <c r="F128" s="7" t="s">
        <v>1060</v>
      </c>
      <c r="G128" s="7" t="s">
        <v>1076</v>
      </c>
      <c r="H128" s="7" t="s">
        <v>1077</v>
      </c>
      <c r="I128" s="7" t="s">
        <v>1078</v>
      </c>
      <c r="J128" s="12" t="s">
        <v>172</v>
      </c>
      <c r="K128" s="7" t="s">
        <v>1079</v>
      </c>
      <c r="L128" s="12" t="s">
        <v>227</v>
      </c>
      <c r="M128" s="12" t="s">
        <v>251</v>
      </c>
      <c r="N128" s="12" t="s">
        <v>267</v>
      </c>
      <c r="O128" s="7" t="s">
        <v>1080</v>
      </c>
      <c r="P128" s="7" t="s">
        <v>231</v>
      </c>
      <c r="Q128" s="7" t="s">
        <v>269</v>
      </c>
    </row>
    <row r="129" spans="1:17" ht="105.75" customHeight="1" x14ac:dyDescent="0.3">
      <c r="A129" s="13" t="s">
        <v>1081</v>
      </c>
      <c r="B129" s="10" t="s">
        <v>1082</v>
      </c>
      <c r="C129" s="10" t="s">
        <v>1083</v>
      </c>
      <c r="D129" s="14" t="s">
        <v>155</v>
      </c>
      <c r="E129" s="10" t="s">
        <v>449</v>
      </c>
      <c r="F129" s="10" t="s">
        <v>1060</v>
      </c>
      <c r="G129" s="10" t="s">
        <v>1084</v>
      </c>
      <c r="H129" s="10" t="s">
        <v>1085</v>
      </c>
      <c r="I129" s="10" t="s">
        <v>1086</v>
      </c>
      <c r="J129" s="14" t="s">
        <v>172</v>
      </c>
      <c r="K129" s="10" t="s">
        <v>1087</v>
      </c>
      <c r="L129" s="14" t="s">
        <v>250</v>
      </c>
      <c r="M129" s="14" t="s">
        <v>251</v>
      </c>
      <c r="N129" s="14" t="s">
        <v>252</v>
      </c>
      <c r="O129" s="10"/>
      <c r="P129" s="10"/>
      <c r="Q129" s="10"/>
    </row>
    <row r="130" spans="1:17" ht="105.75" customHeight="1" x14ac:dyDescent="0.3">
      <c r="A130" s="11" t="s">
        <v>1088</v>
      </c>
      <c r="B130" s="7" t="s">
        <v>1089</v>
      </c>
      <c r="C130" s="7" t="s">
        <v>1090</v>
      </c>
      <c r="D130" s="12" t="s">
        <v>155</v>
      </c>
      <c r="E130" s="7" t="s">
        <v>1091</v>
      </c>
      <c r="F130" s="7" t="s">
        <v>1060</v>
      </c>
      <c r="G130" s="7" t="s">
        <v>1092</v>
      </c>
      <c r="H130" s="7" t="s">
        <v>1093</v>
      </c>
      <c r="I130" s="7" t="s">
        <v>1094</v>
      </c>
      <c r="J130" s="12" t="s">
        <v>172</v>
      </c>
      <c r="K130" s="7" t="s">
        <v>460</v>
      </c>
      <c r="L130" s="12" t="s">
        <v>250</v>
      </c>
      <c r="M130" s="12" t="s">
        <v>251</v>
      </c>
      <c r="N130" s="12" t="s">
        <v>252</v>
      </c>
      <c r="O130" s="7"/>
      <c r="P130" s="7"/>
      <c r="Q130" s="7"/>
    </row>
    <row r="131" spans="1:17" ht="105.75" customHeight="1" x14ac:dyDescent="0.3">
      <c r="A131" s="13" t="s">
        <v>1095</v>
      </c>
      <c r="B131" s="10" t="s">
        <v>1096</v>
      </c>
      <c r="C131" s="10" t="s">
        <v>1097</v>
      </c>
      <c r="D131" s="14" t="s">
        <v>142</v>
      </c>
      <c r="E131" s="10" t="s">
        <v>464</v>
      </c>
      <c r="F131" s="10" t="s">
        <v>1060</v>
      </c>
      <c r="G131" s="10" t="s">
        <v>1098</v>
      </c>
      <c r="H131" s="10" t="s">
        <v>1099</v>
      </c>
      <c r="I131" s="10" t="s">
        <v>1100</v>
      </c>
      <c r="J131" s="14" t="s">
        <v>172</v>
      </c>
      <c r="K131" s="10" t="s">
        <v>1101</v>
      </c>
      <c r="L131" s="14" t="s">
        <v>227</v>
      </c>
      <c r="M131" s="14" t="s">
        <v>228</v>
      </c>
      <c r="N131" s="14" t="s">
        <v>229</v>
      </c>
      <c r="O131" s="10" t="s">
        <v>1102</v>
      </c>
      <c r="P131" s="10" t="s">
        <v>231</v>
      </c>
      <c r="Q131" s="10" t="s">
        <v>232</v>
      </c>
    </row>
    <row r="132" spans="1:17" ht="105.75" customHeight="1" x14ac:dyDescent="0.3">
      <c r="A132" s="11" t="s">
        <v>1103</v>
      </c>
      <c r="B132" s="7" t="s">
        <v>1104</v>
      </c>
      <c r="C132" s="7" t="s">
        <v>1105</v>
      </c>
      <c r="D132" s="12" t="s">
        <v>147</v>
      </c>
      <c r="E132" s="7" t="s">
        <v>599</v>
      </c>
      <c r="F132" s="7" t="s">
        <v>1060</v>
      </c>
      <c r="G132" s="7" t="s">
        <v>1106</v>
      </c>
      <c r="H132" s="7" t="s">
        <v>1107</v>
      </c>
      <c r="I132" s="7" t="s">
        <v>1108</v>
      </c>
      <c r="J132" s="12" t="s">
        <v>172</v>
      </c>
      <c r="K132" s="7" t="s">
        <v>359</v>
      </c>
      <c r="L132" s="12" t="s">
        <v>227</v>
      </c>
      <c r="M132" s="12" t="s">
        <v>228</v>
      </c>
      <c r="N132" s="12" t="s">
        <v>229</v>
      </c>
      <c r="O132" s="7" t="s">
        <v>1109</v>
      </c>
      <c r="P132" s="7" t="s">
        <v>231</v>
      </c>
      <c r="Q132" s="7" t="s">
        <v>232</v>
      </c>
    </row>
    <row r="133" spans="1:17" ht="105.75" customHeight="1" x14ac:dyDescent="0.3">
      <c r="A133" s="13" t="s">
        <v>1110</v>
      </c>
      <c r="B133" s="10" t="s">
        <v>1111</v>
      </c>
      <c r="C133" s="10" t="s">
        <v>1112</v>
      </c>
      <c r="D133" s="14" t="s">
        <v>147</v>
      </c>
      <c r="E133" s="10" t="s">
        <v>599</v>
      </c>
      <c r="F133" s="10" t="s">
        <v>1060</v>
      </c>
      <c r="G133" s="10" t="s">
        <v>1061</v>
      </c>
      <c r="H133" s="10" t="s">
        <v>1113</v>
      </c>
      <c r="I133" s="10" t="s">
        <v>1114</v>
      </c>
      <c r="J133" s="14" t="s">
        <v>172</v>
      </c>
      <c r="K133" s="10" t="s">
        <v>1115</v>
      </c>
      <c r="L133" s="14" t="s">
        <v>250</v>
      </c>
      <c r="M133" s="14" t="s">
        <v>251</v>
      </c>
      <c r="N133" s="14" t="s">
        <v>267</v>
      </c>
      <c r="O133" s="10"/>
      <c r="P133" s="10"/>
      <c r="Q133" s="10"/>
    </row>
    <row r="134" spans="1:17" ht="105.75" customHeight="1" x14ac:dyDescent="0.3">
      <c r="A134" s="11" t="s">
        <v>1116</v>
      </c>
      <c r="B134" s="7" t="s">
        <v>1117</v>
      </c>
      <c r="C134" s="7" t="s">
        <v>1118</v>
      </c>
      <c r="D134" s="12" t="s">
        <v>142</v>
      </c>
      <c r="E134" s="7" t="s">
        <v>221</v>
      </c>
      <c r="F134" s="7" t="s">
        <v>245</v>
      </c>
      <c r="G134" s="7" t="s">
        <v>1119</v>
      </c>
      <c r="H134" s="7" t="s">
        <v>258</v>
      </c>
      <c r="I134" s="7" t="s">
        <v>1120</v>
      </c>
      <c r="J134" s="12" t="s">
        <v>172</v>
      </c>
      <c r="K134" s="7" t="s">
        <v>1121</v>
      </c>
      <c r="L134" s="12" t="s">
        <v>227</v>
      </c>
      <c r="M134" s="12" t="s">
        <v>228</v>
      </c>
      <c r="N134" s="12" t="s">
        <v>229</v>
      </c>
      <c r="O134" s="7" t="s">
        <v>1122</v>
      </c>
      <c r="P134" s="7" t="s">
        <v>231</v>
      </c>
      <c r="Q134" s="7" t="s">
        <v>232</v>
      </c>
    </row>
    <row r="135" spans="1:17" ht="105.75" customHeight="1" x14ac:dyDescent="0.3">
      <c r="A135" s="13" t="s">
        <v>1123</v>
      </c>
      <c r="B135" s="10" t="s">
        <v>1124</v>
      </c>
      <c r="C135" s="10" t="s">
        <v>1125</v>
      </c>
      <c r="D135" s="14" t="s">
        <v>147</v>
      </c>
      <c r="E135" s="10" t="s">
        <v>236</v>
      </c>
      <c r="F135" s="10" t="s">
        <v>1060</v>
      </c>
      <c r="G135" s="10" t="s">
        <v>1126</v>
      </c>
      <c r="H135" s="10" t="s">
        <v>258</v>
      </c>
      <c r="I135" s="10" t="s">
        <v>1127</v>
      </c>
      <c r="J135" s="14" t="s">
        <v>172</v>
      </c>
      <c r="K135" s="10" t="s">
        <v>1128</v>
      </c>
      <c r="L135" s="14" t="s">
        <v>250</v>
      </c>
      <c r="M135" s="14" t="s">
        <v>251</v>
      </c>
      <c r="N135" s="14" t="s">
        <v>252</v>
      </c>
      <c r="O135" s="10"/>
      <c r="P135" s="10"/>
      <c r="Q135" s="10"/>
    </row>
    <row r="136" spans="1:17" ht="133.5" customHeight="1" x14ac:dyDescent="0.3">
      <c r="A136" s="11" t="s">
        <v>1129</v>
      </c>
      <c r="B136" s="7" t="s">
        <v>1130</v>
      </c>
      <c r="C136" s="7" t="s">
        <v>1131</v>
      </c>
      <c r="D136" s="12" t="s">
        <v>147</v>
      </c>
      <c r="E136" s="7" t="s">
        <v>578</v>
      </c>
      <c r="F136" s="7" t="s">
        <v>1132</v>
      </c>
      <c r="G136" s="7" t="s">
        <v>1133</v>
      </c>
      <c r="H136" s="7" t="s">
        <v>1134</v>
      </c>
      <c r="I136" s="7" t="s">
        <v>1135</v>
      </c>
      <c r="J136" s="12" t="s">
        <v>175</v>
      </c>
      <c r="K136" s="7" t="s">
        <v>1136</v>
      </c>
      <c r="L136" s="12" t="s">
        <v>250</v>
      </c>
      <c r="M136" s="12" t="s">
        <v>251</v>
      </c>
      <c r="N136" s="12" t="s">
        <v>252</v>
      </c>
      <c r="O136" s="7"/>
      <c r="P136" s="7"/>
      <c r="Q136" s="7"/>
    </row>
    <row r="137" spans="1:17" ht="133.5" customHeight="1" x14ac:dyDescent="0.3">
      <c r="A137" s="13" t="s">
        <v>1137</v>
      </c>
      <c r="B137" s="10" t="s">
        <v>1138</v>
      </c>
      <c r="C137" s="10" t="s">
        <v>1139</v>
      </c>
      <c r="D137" s="14" t="s">
        <v>147</v>
      </c>
      <c r="E137" s="10" t="s">
        <v>578</v>
      </c>
      <c r="F137" s="10" t="s">
        <v>1140</v>
      </c>
      <c r="G137" s="10" t="s">
        <v>1141</v>
      </c>
      <c r="H137" s="10" t="s">
        <v>1142</v>
      </c>
      <c r="I137" s="10" t="s">
        <v>1143</v>
      </c>
      <c r="J137" s="14" t="s">
        <v>175</v>
      </c>
      <c r="K137" s="10" t="s">
        <v>1144</v>
      </c>
      <c r="L137" s="14" t="s">
        <v>250</v>
      </c>
      <c r="M137" s="14" t="s">
        <v>251</v>
      </c>
      <c r="N137" s="14" t="s">
        <v>252</v>
      </c>
      <c r="O137" s="10"/>
      <c r="P137" s="10"/>
      <c r="Q137" s="10"/>
    </row>
    <row r="138" spans="1:17" ht="133.5" customHeight="1" x14ac:dyDescent="0.3">
      <c r="A138" s="11" t="s">
        <v>1145</v>
      </c>
      <c r="B138" s="7" t="s">
        <v>1146</v>
      </c>
      <c r="C138" s="7" t="s">
        <v>1147</v>
      </c>
      <c r="D138" s="12" t="s">
        <v>142</v>
      </c>
      <c r="E138" s="7" t="s">
        <v>464</v>
      </c>
      <c r="F138" s="7" t="s">
        <v>1132</v>
      </c>
      <c r="G138" s="7" t="s">
        <v>1148</v>
      </c>
      <c r="H138" s="7" t="s">
        <v>1149</v>
      </c>
      <c r="I138" s="7" t="s">
        <v>1150</v>
      </c>
      <c r="J138" s="12" t="s">
        <v>175</v>
      </c>
      <c r="K138" s="7" t="s">
        <v>344</v>
      </c>
      <c r="L138" s="12" t="s">
        <v>227</v>
      </c>
      <c r="M138" s="12" t="s">
        <v>251</v>
      </c>
      <c r="N138" s="12" t="s">
        <v>267</v>
      </c>
      <c r="O138" s="7" t="s">
        <v>1151</v>
      </c>
      <c r="P138" s="7" t="s">
        <v>346</v>
      </c>
      <c r="Q138" s="7" t="s">
        <v>269</v>
      </c>
    </row>
    <row r="139" spans="1:17" ht="120" customHeight="1" x14ac:dyDescent="0.3">
      <c r="A139" s="13" t="s">
        <v>1152</v>
      </c>
      <c r="B139" s="10" t="s">
        <v>1153</v>
      </c>
      <c r="C139" s="10" t="s">
        <v>1154</v>
      </c>
      <c r="D139" s="14" t="s">
        <v>147</v>
      </c>
      <c r="E139" s="10" t="s">
        <v>395</v>
      </c>
      <c r="F139" s="10" t="s">
        <v>1155</v>
      </c>
      <c r="G139" s="10" t="s">
        <v>1156</v>
      </c>
      <c r="H139" s="10" t="s">
        <v>1157</v>
      </c>
      <c r="I139" s="10" t="s">
        <v>1158</v>
      </c>
      <c r="J139" s="14" t="s">
        <v>175</v>
      </c>
      <c r="K139" s="10" t="s">
        <v>1159</v>
      </c>
      <c r="L139" s="14" t="s">
        <v>250</v>
      </c>
      <c r="M139" s="14" t="s">
        <v>251</v>
      </c>
      <c r="N139" s="14" t="s">
        <v>252</v>
      </c>
      <c r="O139" s="10"/>
      <c r="P139" s="10"/>
      <c r="Q139" s="10"/>
    </row>
    <row r="140" spans="1:17" ht="120" customHeight="1" x14ac:dyDescent="0.3">
      <c r="A140" s="11" t="s">
        <v>1160</v>
      </c>
      <c r="B140" s="7" t="s">
        <v>1161</v>
      </c>
      <c r="C140" s="7" t="s">
        <v>1162</v>
      </c>
      <c r="D140" s="12" t="s">
        <v>155</v>
      </c>
      <c r="E140" s="7" t="s">
        <v>599</v>
      </c>
      <c r="F140" s="7" t="s">
        <v>1163</v>
      </c>
      <c r="G140" s="7" t="s">
        <v>1164</v>
      </c>
      <c r="H140" s="7" t="s">
        <v>1165</v>
      </c>
      <c r="I140" s="7" t="s">
        <v>1166</v>
      </c>
      <c r="J140" s="12" t="s">
        <v>175</v>
      </c>
      <c r="K140" s="7" t="s">
        <v>1167</v>
      </c>
      <c r="L140" s="12" t="s">
        <v>250</v>
      </c>
      <c r="M140" s="12" t="s">
        <v>251</v>
      </c>
      <c r="N140" s="12" t="s">
        <v>252</v>
      </c>
      <c r="O140" s="7"/>
      <c r="P140" s="7"/>
      <c r="Q140" s="7"/>
    </row>
    <row r="141" spans="1:17" ht="120" customHeight="1" x14ac:dyDescent="0.3">
      <c r="A141" s="13" t="s">
        <v>1168</v>
      </c>
      <c r="B141" s="10" t="s">
        <v>1169</v>
      </c>
      <c r="C141" s="10" t="s">
        <v>1139</v>
      </c>
      <c r="D141" s="14" t="s">
        <v>142</v>
      </c>
      <c r="E141" s="10" t="s">
        <v>1170</v>
      </c>
      <c r="F141" s="10" t="s">
        <v>1163</v>
      </c>
      <c r="G141" s="10" t="s">
        <v>1171</v>
      </c>
      <c r="H141" s="10" t="s">
        <v>1172</v>
      </c>
      <c r="I141" s="10" t="s">
        <v>1173</v>
      </c>
      <c r="J141" s="14" t="s">
        <v>175</v>
      </c>
      <c r="K141" s="10" t="s">
        <v>1144</v>
      </c>
      <c r="L141" s="14" t="s">
        <v>227</v>
      </c>
      <c r="M141" s="14" t="s">
        <v>251</v>
      </c>
      <c r="N141" s="14" t="s">
        <v>252</v>
      </c>
      <c r="O141" s="10" t="s">
        <v>1174</v>
      </c>
      <c r="P141" s="10" t="s">
        <v>231</v>
      </c>
      <c r="Q141" s="10" t="s">
        <v>269</v>
      </c>
    </row>
    <row r="142" spans="1:17" ht="147" customHeight="1" x14ac:dyDescent="0.3">
      <c r="A142" s="11" t="s">
        <v>1175</v>
      </c>
      <c r="B142" s="7" t="s">
        <v>1176</v>
      </c>
      <c r="C142" s="7" t="s">
        <v>1177</v>
      </c>
      <c r="D142" s="12" t="s">
        <v>155</v>
      </c>
      <c r="E142" s="7" t="s">
        <v>395</v>
      </c>
      <c r="F142" s="7" t="s">
        <v>1178</v>
      </c>
      <c r="G142" s="7" t="s">
        <v>1179</v>
      </c>
      <c r="H142" s="7" t="s">
        <v>1180</v>
      </c>
      <c r="I142" s="7" t="s">
        <v>1181</v>
      </c>
      <c r="J142" s="12" t="s">
        <v>175</v>
      </c>
      <c r="K142" s="7" t="s">
        <v>1144</v>
      </c>
      <c r="L142" s="12" t="s">
        <v>227</v>
      </c>
      <c r="M142" s="12" t="s">
        <v>251</v>
      </c>
      <c r="N142" s="12" t="s">
        <v>252</v>
      </c>
      <c r="O142" s="7" t="s">
        <v>1182</v>
      </c>
      <c r="P142" s="7" t="s">
        <v>231</v>
      </c>
      <c r="Q142" s="7" t="s">
        <v>269</v>
      </c>
    </row>
    <row r="143" spans="1:17" ht="133.5" customHeight="1" x14ac:dyDescent="0.3">
      <c r="A143" s="13" t="s">
        <v>1183</v>
      </c>
      <c r="B143" s="10" t="s">
        <v>1184</v>
      </c>
      <c r="C143" s="10" t="s">
        <v>1185</v>
      </c>
      <c r="D143" s="14" t="s">
        <v>142</v>
      </c>
      <c r="E143" s="10" t="s">
        <v>236</v>
      </c>
      <c r="F143" s="10" t="s">
        <v>1186</v>
      </c>
      <c r="G143" s="10" t="s">
        <v>1187</v>
      </c>
      <c r="H143" s="10" t="s">
        <v>1188</v>
      </c>
      <c r="I143" s="10" t="s">
        <v>1189</v>
      </c>
      <c r="J143" s="14" t="s">
        <v>175</v>
      </c>
      <c r="K143" s="10" t="s">
        <v>344</v>
      </c>
      <c r="L143" s="14" t="s">
        <v>227</v>
      </c>
      <c r="M143" s="14" t="s">
        <v>251</v>
      </c>
      <c r="N143" s="14" t="s">
        <v>267</v>
      </c>
      <c r="O143" s="10" t="s">
        <v>1190</v>
      </c>
      <c r="P143" s="10" t="s">
        <v>346</v>
      </c>
      <c r="Q143" s="10" t="s">
        <v>269</v>
      </c>
    </row>
    <row r="144" spans="1:17" ht="133.5" customHeight="1" x14ac:dyDescent="0.3">
      <c r="A144" s="11" t="s">
        <v>1191</v>
      </c>
      <c r="B144" s="7" t="s">
        <v>1192</v>
      </c>
      <c r="C144" s="7" t="s">
        <v>1147</v>
      </c>
      <c r="D144" s="12" t="s">
        <v>142</v>
      </c>
      <c r="E144" s="7" t="s">
        <v>236</v>
      </c>
      <c r="F144" s="7" t="s">
        <v>1140</v>
      </c>
      <c r="G144" s="7" t="s">
        <v>1193</v>
      </c>
      <c r="H144" s="7" t="s">
        <v>1194</v>
      </c>
      <c r="I144" s="7" t="s">
        <v>1195</v>
      </c>
      <c r="J144" s="12" t="s">
        <v>175</v>
      </c>
      <c r="K144" s="7" t="s">
        <v>344</v>
      </c>
      <c r="L144" s="12" t="s">
        <v>227</v>
      </c>
      <c r="M144" s="12" t="s">
        <v>251</v>
      </c>
      <c r="N144" s="12" t="s">
        <v>267</v>
      </c>
      <c r="O144" s="7" t="s">
        <v>1196</v>
      </c>
      <c r="P144" s="7" t="s">
        <v>346</v>
      </c>
      <c r="Q144" s="7" t="s">
        <v>269</v>
      </c>
    </row>
    <row r="145" spans="1:17" ht="105.75" customHeight="1" x14ac:dyDescent="0.3">
      <c r="A145" s="13" t="s">
        <v>1197</v>
      </c>
      <c r="B145" s="10" t="s">
        <v>1198</v>
      </c>
      <c r="C145" s="10" t="s">
        <v>1199</v>
      </c>
      <c r="D145" s="14" t="s">
        <v>142</v>
      </c>
      <c r="E145" s="10" t="s">
        <v>316</v>
      </c>
      <c r="F145" s="10" t="s">
        <v>1200</v>
      </c>
      <c r="G145" s="10" t="s">
        <v>1201</v>
      </c>
      <c r="H145" s="10" t="s">
        <v>258</v>
      </c>
      <c r="I145" s="10" t="s">
        <v>1202</v>
      </c>
      <c r="J145" s="14" t="s">
        <v>175</v>
      </c>
      <c r="K145" s="10" t="s">
        <v>344</v>
      </c>
      <c r="L145" s="14" t="s">
        <v>227</v>
      </c>
      <c r="M145" s="14" t="s">
        <v>251</v>
      </c>
      <c r="N145" s="14" t="s">
        <v>267</v>
      </c>
      <c r="O145" s="10" t="s">
        <v>1203</v>
      </c>
      <c r="P145" s="10" t="s">
        <v>346</v>
      </c>
      <c r="Q145" s="10" t="s">
        <v>269</v>
      </c>
    </row>
    <row r="146" spans="1:17" ht="133.5" customHeight="1" x14ac:dyDescent="0.3">
      <c r="A146" s="11" t="s">
        <v>1204</v>
      </c>
      <c r="B146" s="7" t="s">
        <v>1205</v>
      </c>
      <c r="C146" s="7" t="s">
        <v>1206</v>
      </c>
      <c r="D146" s="12" t="s">
        <v>147</v>
      </c>
      <c r="E146" s="7" t="s">
        <v>316</v>
      </c>
      <c r="F146" s="7" t="s">
        <v>1207</v>
      </c>
      <c r="G146" s="7" t="s">
        <v>1208</v>
      </c>
      <c r="H146" s="7" t="s">
        <v>1209</v>
      </c>
      <c r="I146" s="7" t="s">
        <v>1210</v>
      </c>
      <c r="J146" s="12" t="s">
        <v>175</v>
      </c>
      <c r="K146" s="7" t="s">
        <v>344</v>
      </c>
      <c r="L146" s="12" t="s">
        <v>250</v>
      </c>
      <c r="M146" s="12" t="s">
        <v>251</v>
      </c>
      <c r="N146" s="12" t="s">
        <v>267</v>
      </c>
      <c r="O146" s="7"/>
      <c r="P146" s="7"/>
      <c r="Q146" s="7"/>
    </row>
    <row r="147" spans="1:17" ht="120" customHeight="1" x14ac:dyDescent="0.3">
      <c r="A147" s="13" t="s">
        <v>1211</v>
      </c>
      <c r="B147" s="10" t="s">
        <v>1212</v>
      </c>
      <c r="C147" s="10" t="s">
        <v>1213</v>
      </c>
      <c r="D147" s="14" t="s">
        <v>155</v>
      </c>
      <c r="E147" s="10" t="s">
        <v>316</v>
      </c>
      <c r="F147" s="10" t="s">
        <v>1163</v>
      </c>
      <c r="G147" s="10" t="s">
        <v>1214</v>
      </c>
      <c r="H147" s="10" t="s">
        <v>258</v>
      </c>
      <c r="I147" s="10" t="s">
        <v>1215</v>
      </c>
      <c r="J147" s="14" t="s">
        <v>175</v>
      </c>
      <c r="K147" s="10" t="s">
        <v>1216</v>
      </c>
      <c r="L147" s="14" t="s">
        <v>250</v>
      </c>
      <c r="M147" s="14" t="s">
        <v>251</v>
      </c>
      <c r="N147" s="14" t="s">
        <v>252</v>
      </c>
      <c r="O147" s="10"/>
      <c r="P147" s="10"/>
      <c r="Q147" s="10"/>
    </row>
    <row r="148" spans="1:17" ht="120" customHeight="1" x14ac:dyDescent="0.3">
      <c r="A148" s="11" t="s">
        <v>1217</v>
      </c>
      <c r="B148" s="7" t="s">
        <v>1218</v>
      </c>
      <c r="C148" s="7" t="s">
        <v>1219</v>
      </c>
      <c r="D148" s="12" t="s">
        <v>155</v>
      </c>
      <c r="E148" s="7" t="s">
        <v>236</v>
      </c>
      <c r="F148" s="7" t="s">
        <v>1220</v>
      </c>
      <c r="G148" s="7" t="s">
        <v>1221</v>
      </c>
      <c r="H148" s="7" t="s">
        <v>258</v>
      </c>
      <c r="I148" s="7" t="s">
        <v>1222</v>
      </c>
      <c r="J148" s="12" t="s">
        <v>175</v>
      </c>
      <c r="K148" s="7" t="s">
        <v>391</v>
      </c>
      <c r="L148" s="12" t="s">
        <v>250</v>
      </c>
      <c r="M148" s="12" t="s">
        <v>251</v>
      </c>
      <c r="N148" s="12" t="s">
        <v>252</v>
      </c>
      <c r="O148" s="7"/>
      <c r="P148" s="7"/>
      <c r="Q148" s="7"/>
    </row>
    <row r="149" spans="1:17" ht="147" customHeight="1" x14ac:dyDescent="0.3">
      <c r="A149" s="13" t="s">
        <v>1223</v>
      </c>
      <c r="B149" s="10" t="s">
        <v>1224</v>
      </c>
      <c r="C149" s="10" t="s">
        <v>1225</v>
      </c>
      <c r="D149" s="14" t="s">
        <v>155</v>
      </c>
      <c r="E149" s="10" t="s">
        <v>236</v>
      </c>
      <c r="F149" s="10" t="s">
        <v>1226</v>
      </c>
      <c r="G149" s="10" t="s">
        <v>1227</v>
      </c>
      <c r="H149" s="10" t="s">
        <v>258</v>
      </c>
      <c r="I149" s="10" t="s">
        <v>1228</v>
      </c>
      <c r="J149" s="14" t="s">
        <v>175</v>
      </c>
      <c r="K149" s="10" t="s">
        <v>391</v>
      </c>
      <c r="L149" s="14" t="s">
        <v>250</v>
      </c>
      <c r="M149" s="14" t="s">
        <v>251</v>
      </c>
      <c r="N149" s="14" t="s">
        <v>252</v>
      </c>
      <c r="O149" s="10"/>
      <c r="P149" s="10"/>
      <c r="Q149" s="10"/>
    </row>
    <row r="150" spans="1:17" ht="133.5" customHeight="1" x14ac:dyDescent="0.3">
      <c r="A150" s="11" t="s">
        <v>1229</v>
      </c>
      <c r="B150" s="7" t="s">
        <v>1230</v>
      </c>
      <c r="C150" s="7" t="s">
        <v>1231</v>
      </c>
      <c r="D150" s="12" t="s">
        <v>155</v>
      </c>
      <c r="E150" s="7" t="s">
        <v>316</v>
      </c>
      <c r="F150" s="7" t="s">
        <v>1232</v>
      </c>
      <c r="G150" s="7" t="s">
        <v>1233</v>
      </c>
      <c r="H150" s="7" t="s">
        <v>258</v>
      </c>
      <c r="I150" s="7" t="s">
        <v>1234</v>
      </c>
      <c r="J150" s="12" t="s">
        <v>175</v>
      </c>
      <c r="K150" s="7" t="s">
        <v>1144</v>
      </c>
      <c r="L150" s="12" t="s">
        <v>250</v>
      </c>
      <c r="M150" s="12" t="s">
        <v>251</v>
      </c>
      <c r="N150" s="12" t="s">
        <v>252</v>
      </c>
      <c r="O150" s="7"/>
      <c r="P150" s="7"/>
      <c r="Q150" s="7"/>
    </row>
    <row r="151" spans="1:17" ht="120" customHeight="1" x14ac:dyDescent="0.3">
      <c r="A151" s="13" t="s">
        <v>1235</v>
      </c>
      <c r="B151" s="10" t="s">
        <v>1236</v>
      </c>
      <c r="C151" s="10" t="s">
        <v>1237</v>
      </c>
      <c r="D151" s="14" t="s">
        <v>142</v>
      </c>
      <c r="E151" s="10" t="s">
        <v>316</v>
      </c>
      <c r="F151" s="10" t="s">
        <v>1238</v>
      </c>
      <c r="G151" s="10" t="s">
        <v>1239</v>
      </c>
      <c r="H151" s="10" t="s">
        <v>1240</v>
      </c>
      <c r="I151" s="10" t="s">
        <v>1241</v>
      </c>
      <c r="J151" s="14" t="s">
        <v>175</v>
      </c>
      <c r="K151" s="10" t="s">
        <v>1242</v>
      </c>
      <c r="L151" s="14" t="s">
        <v>1243</v>
      </c>
      <c r="M151" s="14" t="s">
        <v>251</v>
      </c>
      <c r="N151" s="14" t="s">
        <v>267</v>
      </c>
      <c r="O151" s="10" t="s">
        <v>1244</v>
      </c>
      <c r="P151" s="10" t="s">
        <v>231</v>
      </c>
      <c r="Q151" s="10" t="s">
        <v>269</v>
      </c>
    </row>
    <row r="152" spans="1:17" ht="120" customHeight="1" x14ac:dyDescent="0.3">
      <c r="A152" s="11" t="s">
        <v>1245</v>
      </c>
      <c r="B152" s="7" t="s">
        <v>1246</v>
      </c>
      <c r="C152" s="7" t="s">
        <v>1247</v>
      </c>
      <c r="D152" s="12" t="s">
        <v>147</v>
      </c>
      <c r="E152" s="7" t="s">
        <v>464</v>
      </c>
      <c r="F152" s="7" t="s">
        <v>1248</v>
      </c>
      <c r="G152" s="7" t="s">
        <v>1249</v>
      </c>
      <c r="H152" s="7" t="s">
        <v>258</v>
      </c>
      <c r="I152" s="7" t="s">
        <v>1250</v>
      </c>
      <c r="J152" s="12" t="s">
        <v>175</v>
      </c>
      <c r="K152" s="7" t="s">
        <v>344</v>
      </c>
      <c r="L152" s="12" t="s">
        <v>250</v>
      </c>
      <c r="M152" s="12" t="s">
        <v>251</v>
      </c>
      <c r="N152" s="12" t="s">
        <v>267</v>
      </c>
      <c r="O152" s="7"/>
      <c r="P152" s="7"/>
      <c r="Q152" s="7"/>
    </row>
    <row r="153" spans="1:17" ht="147" customHeight="1" x14ac:dyDescent="0.3">
      <c r="A153" s="13" t="s">
        <v>1251</v>
      </c>
      <c r="B153" s="10" t="s">
        <v>1252</v>
      </c>
      <c r="C153" s="10" t="s">
        <v>1237</v>
      </c>
      <c r="D153" s="14" t="s">
        <v>142</v>
      </c>
      <c r="E153" s="10" t="s">
        <v>395</v>
      </c>
      <c r="F153" s="10" t="s">
        <v>1253</v>
      </c>
      <c r="G153" s="10" t="s">
        <v>1239</v>
      </c>
      <c r="H153" s="10" t="s">
        <v>1254</v>
      </c>
      <c r="I153" s="10" t="s">
        <v>1255</v>
      </c>
      <c r="J153" s="14" t="s">
        <v>175</v>
      </c>
      <c r="K153" s="10" t="s">
        <v>1242</v>
      </c>
      <c r="L153" s="14" t="s">
        <v>227</v>
      </c>
      <c r="M153" s="14" t="s">
        <v>251</v>
      </c>
      <c r="N153" s="14" t="s">
        <v>267</v>
      </c>
      <c r="O153" s="10" t="s">
        <v>1256</v>
      </c>
      <c r="P153" s="10" t="s">
        <v>346</v>
      </c>
      <c r="Q153" s="10" t="s">
        <v>269</v>
      </c>
    </row>
    <row r="154" spans="1:17" ht="78.75" customHeight="1" x14ac:dyDescent="0.3">
      <c r="A154" s="11" t="s">
        <v>1257</v>
      </c>
      <c r="B154" s="7" t="s">
        <v>1258</v>
      </c>
      <c r="C154" s="7" t="s">
        <v>1237</v>
      </c>
      <c r="D154" s="12" t="s">
        <v>142</v>
      </c>
      <c r="E154" s="7" t="s">
        <v>464</v>
      </c>
      <c r="F154" s="7" t="s">
        <v>1259</v>
      </c>
      <c r="G154" s="7" t="s">
        <v>1239</v>
      </c>
      <c r="H154" s="7" t="s">
        <v>1260</v>
      </c>
      <c r="I154" s="7" t="s">
        <v>1261</v>
      </c>
      <c r="J154" s="12" t="s">
        <v>175</v>
      </c>
      <c r="K154" s="7" t="s">
        <v>1242</v>
      </c>
      <c r="L154" s="12" t="s">
        <v>227</v>
      </c>
      <c r="M154" s="12" t="s">
        <v>251</v>
      </c>
      <c r="N154" s="12" t="s">
        <v>267</v>
      </c>
      <c r="O154" s="7" t="s">
        <v>1262</v>
      </c>
      <c r="P154" s="7" t="s">
        <v>346</v>
      </c>
      <c r="Q154" s="7" t="s">
        <v>269</v>
      </c>
    </row>
    <row r="155" spans="1:17" ht="147" customHeight="1" x14ac:dyDescent="0.3">
      <c r="A155" s="13" t="s">
        <v>1263</v>
      </c>
      <c r="B155" s="10" t="s">
        <v>1264</v>
      </c>
      <c r="C155" s="10" t="s">
        <v>1237</v>
      </c>
      <c r="D155" s="14" t="s">
        <v>142</v>
      </c>
      <c r="E155" s="10" t="s">
        <v>599</v>
      </c>
      <c r="F155" s="10" t="s">
        <v>1265</v>
      </c>
      <c r="G155" s="10" t="s">
        <v>1266</v>
      </c>
      <c r="H155" s="10" t="s">
        <v>1267</v>
      </c>
      <c r="I155" s="10" t="s">
        <v>1268</v>
      </c>
      <c r="J155" s="14" t="s">
        <v>175</v>
      </c>
      <c r="K155" s="10" t="s">
        <v>1242</v>
      </c>
      <c r="L155" s="14" t="s">
        <v>227</v>
      </c>
      <c r="M155" s="14" t="s">
        <v>251</v>
      </c>
      <c r="N155" s="14" t="s">
        <v>267</v>
      </c>
      <c r="O155" s="10" t="s">
        <v>1269</v>
      </c>
      <c r="P155" s="10" t="s">
        <v>346</v>
      </c>
      <c r="Q155" s="10" t="s">
        <v>269</v>
      </c>
    </row>
    <row r="156" spans="1:17" ht="120" customHeight="1" x14ac:dyDescent="0.3">
      <c r="A156" s="11" t="s">
        <v>1270</v>
      </c>
      <c r="B156" s="7" t="s">
        <v>1271</v>
      </c>
      <c r="C156" s="7" t="s">
        <v>1237</v>
      </c>
      <c r="D156" s="12" t="s">
        <v>147</v>
      </c>
      <c r="E156" s="7" t="s">
        <v>395</v>
      </c>
      <c r="F156" s="7" t="s">
        <v>1238</v>
      </c>
      <c r="G156" s="7" t="s">
        <v>1272</v>
      </c>
      <c r="H156" s="7" t="s">
        <v>1273</v>
      </c>
      <c r="I156" s="7" t="s">
        <v>1274</v>
      </c>
      <c r="J156" s="12" t="s">
        <v>175</v>
      </c>
      <c r="K156" s="7" t="s">
        <v>1242</v>
      </c>
      <c r="L156" s="12" t="s">
        <v>250</v>
      </c>
      <c r="M156" s="12" t="s">
        <v>251</v>
      </c>
      <c r="N156" s="12" t="s">
        <v>252</v>
      </c>
      <c r="O156" s="7"/>
      <c r="P156" s="7"/>
      <c r="Q156" s="7"/>
    </row>
    <row r="157" spans="1:17" ht="133.5" customHeight="1" x14ac:dyDescent="0.3">
      <c r="A157" s="13" t="s">
        <v>1275</v>
      </c>
      <c r="B157" s="10" t="s">
        <v>1276</v>
      </c>
      <c r="C157" s="10" t="s">
        <v>1277</v>
      </c>
      <c r="D157" s="14" t="s">
        <v>147</v>
      </c>
      <c r="E157" s="10" t="s">
        <v>236</v>
      </c>
      <c r="F157" s="10" t="s">
        <v>1278</v>
      </c>
      <c r="G157" s="10" t="s">
        <v>1279</v>
      </c>
      <c r="H157" s="10" t="s">
        <v>1280</v>
      </c>
      <c r="I157" s="10" t="s">
        <v>1281</v>
      </c>
      <c r="J157" s="14" t="s">
        <v>179</v>
      </c>
      <c r="K157" s="10" t="s">
        <v>1282</v>
      </c>
      <c r="L157" s="14" t="s">
        <v>250</v>
      </c>
      <c r="M157" s="14" t="s">
        <v>251</v>
      </c>
      <c r="N157" s="14" t="s">
        <v>252</v>
      </c>
      <c r="O157" s="10"/>
      <c r="P157" s="10"/>
      <c r="Q157" s="10"/>
    </row>
    <row r="158" spans="1:17" ht="120" customHeight="1" x14ac:dyDescent="0.3">
      <c r="A158" s="11" t="s">
        <v>1283</v>
      </c>
      <c r="B158" s="7" t="s">
        <v>1284</v>
      </c>
      <c r="C158" s="7" t="s">
        <v>1285</v>
      </c>
      <c r="D158" s="12" t="s">
        <v>155</v>
      </c>
      <c r="E158" s="7" t="s">
        <v>672</v>
      </c>
      <c r="F158" s="7" t="s">
        <v>1286</v>
      </c>
      <c r="G158" s="7" t="s">
        <v>1287</v>
      </c>
      <c r="H158" s="7" t="s">
        <v>1288</v>
      </c>
      <c r="I158" s="7" t="s">
        <v>1289</v>
      </c>
      <c r="J158" s="12" t="s">
        <v>179</v>
      </c>
      <c r="K158" s="7" t="s">
        <v>1290</v>
      </c>
      <c r="L158" s="12" t="s">
        <v>250</v>
      </c>
      <c r="M158" s="12" t="s">
        <v>251</v>
      </c>
      <c r="N158" s="12" t="s">
        <v>252</v>
      </c>
      <c r="O158" s="7"/>
      <c r="P158" s="7"/>
      <c r="Q158" s="7"/>
    </row>
    <row r="159" spans="1:17" ht="120" customHeight="1" x14ac:dyDescent="0.3">
      <c r="A159" s="13" t="s">
        <v>1291</v>
      </c>
      <c r="B159" s="10" t="s">
        <v>1292</v>
      </c>
      <c r="C159" s="10" t="s">
        <v>1285</v>
      </c>
      <c r="D159" s="14" t="s">
        <v>155</v>
      </c>
      <c r="E159" s="10" t="s">
        <v>672</v>
      </c>
      <c r="F159" s="10" t="s">
        <v>1286</v>
      </c>
      <c r="G159" s="10" t="s">
        <v>1293</v>
      </c>
      <c r="H159" s="10" t="s">
        <v>1294</v>
      </c>
      <c r="I159" s="10" t="s">
        <v>1295</v>
      </c>
      <c r="J159" s="14" t="s">
        <v>179</v>
      </c>
      <c r="K159" s="10" t="s">
        <v>1290</v>
      </c>
      <c r="L159" s="14" t="s">
        <v>250</v>
      </c>
      <c r="M159" s="14" t="s">
        <v>251</v>
      </c>
      <c r="N159" s="14" t="s">
        <v>252</v>
      </c>
      <c r="O159" s="10"/>
      <c r="P159" s="10"/>
      <c r="Q159" s="10"/>
    </row>
    <row r="160" spans="1:17" ht="133.5" customHeight="1" x14ac:dyDescent="0.3">
      <c r="A160" s="11" t="s">
        <v>1296</v>
      </c>
      <c r="B160" s="7" t="s">
        <v>1297</v>
      </c>
      <c r="C160" s="7" t="s">
        <v>1298</v>
      </c>
      <c r="D160" s="12" t="s">
        <v>147</v>
      </c>
      <c r="E160" s="7" t="s">
        <v>464</v>
      </c>
      <c r="F160" s="7" t="s">
        <v>1299</v>
      </c>
      <c r="G160" s="7" t="s">
        <v>1300</v>
      </c>
      <c r="H160" s="7" t="s">
        <v>1301</v>
      </c>
      <c r="I160" s="7" t="s">
        <v>1302</v>
      </c>
      <c r="J160" s="12" t="s">
        <v>179</v>
      </c>
      <c r="K160" s="7" t="s">
        <v>1290</v>
      </c>
      <c r="L160" s="12" t="s">
        <v>250</v>
      </c>
      <c r="M160" s="12" t="s">
        <v>251</v>
      </c>
      <c r="N160" s="12" t="s">
        <v>252</v>
      </c>
      <c r="O160" s="7"/>
      <c r="P160" s="7"/>
      <c r="Q160" s="7"/>
    </row>
    <row r="161" spans="1:17" ht="120" customHeight="1" x14ac:dyDescent="0.3">
      <c r="A161" s="13" t="s">
        <v>1303</v>
      </c>
      <c r="B161" s="10" t="s">
        <v>1304</v>
      </c>
      <c r="C161" s="10" t="s">
        <v>1298</v>
      </c>
      <c r="D161" s="14" t="s">
        <v>155</v>
      </c>
      <c r="E161" s="10" t="s">
        <v>599</v>
      </c>
      <c r="F161" s="10" t="s">
        <v>1286</v>
      </c>
      <c r="G161" s="10" t="s">
        <v>1305</v>
      </c>
      <c r="H161" s="10" t="s">
        <v>1306</v>
      </c>
      <c r="I161" s="10" t="s">
        <v>1307</v>
      </c>
      <c r="J161" s="14" t="s">
        <v>179</v>
      </c>
      <c r="K161" s="10" t="s">
        <v>1290</v>
      </c>
      <c r="L161" s="14" t="s">
        <v>250</v>
      </c>
      <c r="M161" s="14" t="s">
        <v>251</v>
      </c>
      <c r="N161" s="14" t="s">
        <v>252</v>
      </c>
      <c r="O161" s="10"/>
      <c r="P161" s="10"/>
      <c r="Q161" s="10"/>
    </row>
    <row r="162" spans="1:17" ht="133.5" customHeight="1" x14ac:dyDescent="0.3">
      <c r="A162" s="11" t="s">
        <v>1308</v>
      </c>
      <c r="B162" s="7" t="s">
        <v>1309</v>
      </c>
      <c r="C162" s="7" t="s">
        <v>1310</v>
      </c>
      <c r="D162" s="12" t="s">
        <v>147</v>
      </c>
      <c r="E162" s="7" t="s">
        <v>578</v>
      </c>
      <c r="F162" s="7" t="s">
        <v>1311</v>
      </c>
      <c r="G162" s="7" t="s">
        <v>1312</v>
      </c>
      <c r="H162" s="7" t="s">
        <v>1313</v>
      </c>
      <c r="I162" s="7" t="s">
        <v>1314</v>
      </c>
      <c r="J162" s="12" t="s">
        <v>182</v>
      </c>
      <c r="K162" s="7" t="s">
        <v>391</v>
      </c>
      <c r="L162" s="12" t="s">
        <v>250</v>
      </c>
      <c r="M162" s="12" t="s">
        <v>251</v>
      </c>
      <c r="N162" s="12" t="s">
        <v>252</v>
      </c>
      <c r="O162" s="7"/>
      <c r="P162" s="7"/>
      <c r="Q162" s="7"/>
    </row>
    <row r="163" spans="1:17" ht="133.5" customHeight="1" x14ac:dyDescent="0.3">
      <c r="A163" s="13" t="s">
        <v>1315</v>
      </c>
      <c r="B163" s="10" t="s">
        <v>1316</v>
      </c>
      <c r="C163" s="10" t="s">
        <v>1310</v>
      </c>
      <c r="D163" s="14" t="s">
        <v>147</v>
      </c>
      <c r="E163" s="10" t="s">
        <v>1068</v>
      </c>
      <c r="F163" s="10" t="s">
        <v>1311</v>
      </c>
      <c r="G163" s="10" t="s">
        <v>1317</v>
      </c>
      <c r="H163" s="10" t="s">
        <v>1318</v>
      </c>
      <c r="I163" s="10" t="s">
        <v>1319</v>
      </c>
      <c r="J163" s="14" t="s">
        <v>182</v>
      </c>
      <c r="K163" s="10" t="s">
        <v>391</v>
      </c>
      <c r="L163" s="14" t="s">
        <v>250</v>
      </c>
      <c r="M163" s="14" t="s">
        <v>251</v>
      </c>
      <c r="N163" s="14" t="s">
        <v>252</v>
      </c>
      <c r="O163" s="10"/>
      <c r="P163" s="10"/>
      <c r="Q163" s="10"/>
    </row>
    <row r="164" spans="1:17" ht="133.5" customHeight="1" x14ac:dyDescent="0.3">
      <c r="A164" s="11" t="s">
        <v>1320</v>
      </c>
      <c r="B164" s="7" t="s">
        <v>1321</v>
      </c>
      <c r="C164" s="7" t="s">
        <v>1310</v>
      </c>
      <c r="D164" s="12" t="s">
        <v>155</v>
      </c>
      <c r="E164" s="7" t="s">
        <v>578</v>
      </c>
      <c r="F164" s="7" t="s">
        <v>1311</v>
      </c>
      <c r="G164" s="7" t="s">
        <v>1322</v>
      </c>
      <c r="H164" s="7" t="s">
        <v>1323</v>
      </c>
      <c r="I164" s="7" t="s">
        <v>1324</v>
      </c>
      <c r="J164" s="12" t="s">
        <v>182</v>
      </c>
      <c r="K164" s="7" t="s">
        <v>391</v>
      </c>
      <c r="L164" s="12" t="s">
        <v>250</v>
      </c>
      <c r="M164" s="12" t="s">
        <v>251</v>
      </c>
      <c r="N164" s="12" t="s">
        <v>252</v>
      </c>
      <c r="O164" s="7"/>
      <c r="P164" s="7"/>
      <c r="Q164" s="7"/>
    </row>
    <row r="165" spans="1:17" ht="133.5" customHeight="1" x14ac:dyDescent="0.3">
      <c r="A165" s="13" t="s">
        <v>1325</v>
      </c>
      <c r="B165" s="10" t="s">
        <v>1326</v>
      </c>
      <c r="C165" s="10" t="s">
        <v>1327</v>
      </c>
      <c r="D165" s="14" t="s">
        <v>147</v>
      </c>
      <c r="E165" s="10" t="s">
        <v>578</v>
      </c>
      <c r="F165" s="10" t="s">
        <v>1311</v>
      </c>
      <c r="G165" s="10" t="s">
        <v>1328</v>
      </c>
      <c r="H165" s="10" t="s">
        <v>1329</v>
      </c>
      <c r="I165" s="10" t="s">
        <v>1330</v>
      </c>
      <c r="J165" s="14" t="s">
        <v>182</v>
      </c>
      <c r="K165" s="10" t="s">
        <v>460</v>
      </c>
      <c r="L165" s="14" t="s">
        <v>250</v>
      </c>
      <c r="M165" s="14" t="s">
        <v>251</v>
      </c>
      <c r="N165" s="14" t="s">
        <v>252</v>
      </c>
      <c r="O165" s="10"/>
      <c r="P165" s="10"/>
      <c r="Q165" s="10"/>
    </row>
    <row r="166" spans="1:17" ht="120" customHeight="1" x14ac:dyDescent="0.3">
      <c r="A166" s="11" t="s">
        <v>1331</v>
      </c>
      <c r="B166" s="7" t="s">
        <v>1332</v>
      </c>
      <c r="C166" s="7" t="s">
        <v>1333</v>
      </c>
      <c r="D166" s="12" t="s">
        <v>147</v>
      </c>
      <c r="E166" s="7" t="s">
        <v>464</v>
      </c>
      <c r="F166" s="7" t="s">
        <v>1334</v>
      </c>
      <c r="G166" s="7" t="s">
        <v>1335</v>
      </c>
      <c r="H166" s="7" t="s">
        <v>1301</v>
      </c>
      <c r="I166" s="7" t="s">
        <v>1336</v>
      </c>
      <c r="J166" s="12" t="s">
        <v>182</v>
      </c>
      <c r="K166" s="7" t="s">
        <v>391</v>
      </c>
      <c r="L166" s="12" t="s">
        <v>250</v>
      </c>
      <c r="M166" s="12" t="s">
        <v>251</v>
      </c>
      <c r="N166" s="12" t="s">
        <v>252</v>
      </c>
      <c r="O166" s="7"/>
      <c r="P166" s="7"/>
      <c r="Q166" s="7"/>
    </row>
    <row r="167" spans="1:17" ht="120" customHeight="1" x14ac:dyDescent="0.3">
      <c r="A167" s="13" t="s">
        <v>1337</v>
      </c>
      <c r="B167" s="10" t="s">
        <v>1338</v>
      </c>
      <c r="C167" s="10" t="s">
        <v>1333</v>
      </c>
      <c r="D167" s="14" t="s">
        <v>155</v>
      </c>
      <c r="E167" s="10" t="s">
        <v>599</v>
      </c>
      <c r="F167" s="10" t="s">
        <v>1334</v>
      </c>
      <c r="G167" s="10" t="s">
        <v>1339</v>
      </c>
      <c r="H167" s="10" t="s">
        <v>1340</v>
      </c>
      <c r="I167" s="10" t="s">
        <v>1341</v>
      </c>
      <c r="J167" s="14" t="s">
        <v>182</v>
      </c>
      <c r="K167" s="10" t="s">
        <v>391</v>
      </c>
      <c r="L167" s="14" t="s">
        <v>250</v>
      </c>
      <c r="M167" s="14" t="s">
        <v>251</v>
      </c>
      <c r="N167" s="14" t="s">
        <v>252</v>
      </c>
      <c r="O167" s="10"/>
      <c r="P167" s="10"/>
      <c r="Q167" s="10"/>
    </row>
    <row r="168" spans="1:17" ht="133.5" customHeight="1" x14ac:dyDescent="0.3">
      <c r="A168" s="11" t="s">
        <v>1342</v>
      </c>
      <c r="B168" s="7" t="s">
        <v>1343</v>
      </c>
      <c r="C168" s="7" t="s">
        <v>1344</v>
      </c>
      <c r="D168" s="12" t="s">
        <v>155</v>
      </c>
      <c r="E168" s="7" t="s">
        <v>599</v>
      </c>
      <c r="F168" s="7" t="s">
        <v>1345</v>
      </c>
      <c r="G168" s="7" t="s">
        <v>1346</v>
      </c>
      <c r="H168" s="7" t="s">
        <v>1347</v>
      </c>
      <c r="I168" s="7" t="s">
        <v>1348</v>
      </c>
      <c r="J168" s="12" t="s">
        <v>182</v>
      </c>
      <c r="K168" s="7" t="s">
        <v>391</v>
      </c>
      <c r="L168" s="12" t="s">
        <v>250</v>
      </c>
      <c r="M168" s="12" t="s">
        <v>251</v>
      </c>
      <c r="N168" s="12" t="s">
        <v>252</v>
      </c>
      <c r="O168" s="7"/>
      <c r="P168" s="7"/>
      <c r="Q168" s="7"/>
    </row>
    <row r="169" spans="1:17" ht="133.5" customHeight="1" x14ac:dyDescent="0.3">
      <c r="A169" s="13" t="s">
        <v>1349</v>
      </c>
      <c r="B169" s="10" t="s">
        <v>1350</v>
      </c>
      <c r="C169" s="10" t="s">
        <v>1310</v>
      </c>
      <c r="D169" s="14" t="s">
        <v>155</v>
      </c>
      <c r="E169" s="10" t="s">
        <v>599</v>
      </c>
      <c r="F169" s="10" t="s">
        <v>1311</v>
      </c>
      <c r="G169" s="10" t="s">
        <v>1351</v>
      </c>
      <c r="H169" s="10" t="s">
        <v>1352</v>
      </c>
      <c r="I169" s="10" t="s">
        <v>1353</v>
      </c>
      <c r="J169" s="14" t="s">
        <v>182</v>
      </c>
      <c r="K169" s="10" t="s">
        <v>391</v>
      </c>
      <c r="L169" s="14" t="s">
        <v>250</v>
      </c>
      <c r="M169" s="14" t="s">
        <v>251</v>
      </c>
      <c r="N169" s="14" t="s">
        <v>252</v>
      </c>
      <c r="O169" s="10"/>
      <c r="P169" s="10"/>
      <c r="Q169" s="10"/>
    </row>
    <row r="170" spans="1:17" ht="133.5" customHeight="1" x14ac:dyDescent="0.3">
      <c r="A170" s="11" t="s">
        <v>1354</v>
      </c>
      <c r="B170" s="7" t="s">
        <v>1355</v>
      </c>
      <c r="C170" s="7" t="s">
        <v>1327</v>
      </c>
      <c r="D170" s="12" t="s">
        <v>155</v>
      </c>
      <c r="E170" s="7" t="s">
        <v>464</v>
      </c>
      <c r="F170" s="7" t="s">
        <v>1311</v>
      </c>
      <c r="G170" s="7" t="s">
        <v>1356</v>
      </c>
      <c r="H170" s="7" t="s">
        <v>1357</v>
      </c>
      <c r="I170" s="7" t="s">
        <v>1358</v>
      </c>
      <c r="J170" s="12" t="s">
        <v>182</v>
      </c>
      <c r="K170" s="7" t="s">
        <v>1359</v>
      </c>
      <c r="L170" s="12" t="s">
        <v>250</v>
      </c>
      <c r="M170" s="12" t="s">
        <v>251</v>
      </c>
      <c r="N170" s="12" t="s">
        <v>252</v>
      </c>
      <c r="O170" s="7"/>
      <c r="P170" s="7"/>
      <c r="Q170" s="7"/>
    </row>
    <row r="171" spans="1:17" ht="133.5" customHeight="1" x14ac:dyDescent="0.3">
      <c r="A171" s="13" t="s">
        <v>1360</v>
      </c>
      <c r="B171" s="10" t="s">
        <v>1361</v>
      </c>
      <c r="C171" s="10" t="s">
        <v>1362</v>
      </c>
      <c r="D171" s="14" t="s">
        <v>155</v>
      </c>
      <c r="E171" s="10" t="s">
        <v>599</v>
      </c>
      <c r="F171" s="10" t="s">
        <v>1311</v>
      </c>
      <c r="G171" s="10" t="s">
        <v>1363</v>
      </c>
      <c r="H171" s="10" t="s">
        <v>1364</v>
      </c>
      <c r="I171" s="10" t="s">
        <v>1365</v>
      </c>
      <c r="J171" s="14" t="s">
        <v>182</v>
      </c>
      <c r="K171" s="10" t="s">
        <v>391</v>
      </c>
      <c r="L171" s="14" t="s">
        <v>250</v>
      </c>
      <c r="M171" s="14" t="s">
        <v>251</v>
      </c>
      <c r="N171" s="14" t="s">
        <v>252</v>
      </c>
      <c r="O171" s="10"/>
      <c r="P171" s="10"/>
      <c r="Q171" s="10"/>
    </row>
    <row r="172" spans="1:17" ht="133.5" customHeight="1" x14ac:dyDescent="0.3">
      <c r="A172" s="11" t="s">
        <v>1366</v>
      </c>
      <c r="B172" s="7" t="s">
        <v>1367</v>
      </c>
      <c r="C172" s="7" t="s">
        <v>1368</v>
      </c>
      <c r="D172" s="12" t="s">
        <v>142</v>
      </c>
      <c r="E172" s="7" t="s">
        <v>236</v>
      </c>
      <c r="F172" s="7" t="s">
        <v>341</v>
      </c>
      <c r="G172" s="7" t="s">
        <v>1369</v>
      </c>
      <c r="H172" s="7" t="s">
        <v>1370</v>
      </c>
      <c r="I172" s="7" t="s">
        <v>1371</v>
      </c>
      <c r="J172" s="12" t="s">
        <v>182</v>
      </c>
      <c r="K172" s="7" t="s">
        <v>344</v>
      </c>
      <c r="L172" s="12" t="s">
        <v>227</v>
      </c>
      <c r="M172" s="12" t="s">
        <v>251</v>
      </c>
      <c r="N172" s="12" t="s">
        <v>267</v>
      </c>
      <c r="O172" s="7" t="s">
        <v>1372</v>
      </c>
      <c r="P172" s="7" t="s">
        <v>346</v>
      </c>
      <c r="Q172" s="7" t="s">
        <v>269</v>
      </c>
    </row>
    <row r="173" spans="1:17" ht="120" customHeight="1" x14ac:dyDescent="0.3">
      <c r="A173" s="13" t="s">
        <v>1373</v>
      </c>
      <c r="B173" s="10" t="s">
        <v>1374</v>
      </c>
      <c r="C173" s="10" t="s">
        <v>1375</v>
      </c>
      <c r="D173" s="14" t="s">
        <v>147</v>
      </c>
      <c r="E173" s="10" t="s">
        <v>236</v>
      </c>
      <c r="F173" s="10" t="s">
        <v>1334</v>
      </c>
      <c r="G173" s="10" t="s">
        <v>1376</v>
      </c>
      <c r="H173" s="10" t="s">
        <v>1377</v>
      </c>
      <c r="I173" s="10" t="s">
        <v>1378</v>
      </c>
      <c r="J173" s="14" t="s">
        <v>182</v>
      </c>
      <c r="K173" s="10" t="s">
        <v>391</v>
      </c>
      <c r="L173" s="14" t="s">
        <v>250</v>
      </c>
      <c r="M173" s="14" t="s">
        <v>251</v>
      </c>
      <c r="N173" s="14" t="s">
        <v>252</v>
      </c>
      <c r="O173" s="10"/>
      <c r="P173" s="10"/>
      <c r="Q173" s="10"/>
    </row>
    <row r="174" spans="1:17" ht="133.5" customHeight="1" x14ac:dyDescent="0.3">
      <c r="A174" s="11" t="s">
        <v>1379</v>
      </c>
      <c r="B174" s="7" t="s">
        <v>1380</v>
      </c>
      <c r="C174" s="7" t="s">
        <v>1381</v>
      </c>
      <c r="D174" s="12" t="s">
        <v>155</v>
      </c>
      <c r="E174" s="7" t="s">
        <v>236</v>
      </c>
      <c r="F174" s="7" t="s">
        <v>1382</v>
      </c>
      <c r="G174" s="7" t="s">
        <v>1383</v>
      </c>
      <c r="H174" s="7" t="s">
        <v>258</v>
      </c>
      <c r="I174" s="7" t="s">
        <v>1384</v>
      </c>
      <c r="J174" s="12" t="s">
        <v>182</v>
      </c>
      <c r="K174" s="7" t="s">
        <v>391</v>
      </c>
      <c r="L174" s="12" t="s">
        <v>250</v>
      </c>
      <c r="M174" s="12" t="s">
        <v>251</v>
      </c>
      <c r="N174" s="12" t="s">
        <v>252</v>
      </c>
      <c r="O174" s="7"/>
      <c r="P174" s="7"/>
      <c r="Q174" s="7"/>
    </row>
    <row r="175" spans="1:17" ht="133.5" customHeight="1" x14ac:dyDescent="0.3">
      <c r="A175" s="13" t="s">
        <v>1385</v>
      </c>
      <c r="B175" s="10" t="s">
        <v>1386</v>
      </c>
      <c r="C175" s="10" t="s">
        <v>1327</v>
      </c>
      <c r="D175" s="14" t="s">
        <v>147</v>
      </c>
      <c r="E175" s="10" t="s">
        <v>236</v>
      </c>
      <c r="F175" s="10" t="s">
        <v>1311</v>
      </c>
      <c r="G175" s="10" t="s">
        <v>1387</v>
      </c>
      <c r="H175" s="10" t="s">
        <v>1388</v>
      </c>
      <c r="I175" s="10" t="s">
        <v>1389</v>
      </c>
      <c r="J175" s="14" t="s">
        <v>182</v>
      </c>
      <c r="K175" s="10" t="s">
        <v>391</v>
      </c>
      <c r="L175" s="14" t="s">
        <v>250</v>
      </c>
      <c r="M175" s="14" t="s">
        <v>251</v>
      </c>
      <c r="N175" s="14" t="s">
        <v>252</v>
      </c>
      <c r="O175" s="10"/>
      <c r="P175" s="10"/>
      <c r="Q175" s="10"/>
    </row>
    <row r="176" spans="1:17" ht="133.5" customHeight="1" x14ac:dyDescent="0.3">
      <c r="A176" s="11" t="s">
        <v>1390</v>
      </c>
      <c r="B176" s="7" t="s">
        <v>1391</v>
      </c>
      <c r="C176" s="7" t="s">
        <v>1392</v>
      </c>
      <c r="D176" s="12" t="s">
        <v>155</v>
      </c>
      <c r="E176" s="7" t="s">
        <v>236</v>
      </c>
      <c r="F176" s="7" t="s">
        <v>1311</v>
      </c>
      <c r="G176" s="7" t="s">
        <v>1393</v>
      </c>
      <c r="H176" s="7" t="s">
        <v>1394</v>
      </c>
      <c r="I176" s="7" t="s">
        <v>1395</v>
      </c>
      <c r="J176" s="12" t="s">
        <v>182</v>
      </c>
      <c r="K176" s="7" t="s">
        <v>391</v>
      </c>
      <c r="L176" s="12" t="s">
        <v>250</v>
      </c>
      <c r="M176" s="12" t="s">
        <v>251</v>
      </c>
      <c r="N176" s="12" t="s">
        <v>252</v>
      </c>
      <c r="O176" s="7"/>
      <c r="P176" s="7"/>
      <c r="Q176" s="7"/>
    </row>
    <row r="177" spans="1:17" ht="133.5" customHeight="1" x14ac:dyDescent="0.3">
      <c r="A177" s="13" t="s">
        <v>1396</v>
      </c>
      <c r="B177" s="10" t="s">
        <v>1397</v>
      </c>
      <c r="C177" s="10" t="s">
        <v>1398</v>
      </c>
      <c r="D177" s="14" t="s">
        <v>147</v>
      </c>
      <c r="E177" s="10" t="s">
        <v>622</v>
      </c>
      <c r="F177" s="10" t="s">
        <v>1311</v>
      </c>
      <c r="G177" s="10" t="s">
        <v>1399</v>
      </c>
      <c r="H177" s="10" t="s">
        <v>1400</v>
      </c>
      <c r="I177" s="10" t="s">
        <v>1401</v>
      </c>
      <c r="J177" s="14" t="s">
        <v>182</v>
      </c>
      <c r="K177" s="10" t="s">
        <v>391</v>
      </c>
      <c r="L177" s="14" t="s">
        <v>250</v>
      </c>
      <c r="M177" s="14" t="s">
        <v>251</v>
      </c>
      <c r="N177" s="14" t="s">
        <v>252</v>
      </c>
      <c r="O177" s="10"/>
      <c r="P177" s="10"/>
      <c r="Q177" s="10"/>
    </row>
    <row r="178" spans="1:17" ht="133.5" customHeight="1" x14ac:dyDescent="0.3">
      <c r="A178" s="11" t="s">
        <v>1402</v>
      </c>
      <c r="B178" s="7" t="s">
        <v>1403</v>
      </c>
      <c r="C178" s="7" t="s">
        <v>1404</v>
      </c>
      <c r="D178" s="12" t="s">
        <v>147</v>
      </c>
      <c r="E178" s="7" t="s">
        <v>236</v>
      </c>
      <c r="F178" s="7" t="s">
        <v>1311</v>
      </c>
      <c r="G178" s="7" t="s">
        <v>1405</v>
      </c>
      <c r="H178" s="7" t="s">
        <v>258</v>
      </c>
      <c r="I178" s="7" t="s">
        <v>1406</v>
      </c>
      <c r="J178" s="12" t="s">
        <v>182</v>
      </c>
      <c r="K178" s="7" t="s">
        <v>391</v>
      </c>
      <c r="L178" s="12" t="s">
        <v>250</v>
      </c>
      <c r="M178" s="12" t="s">
        <v>251</v>
      </c>
      <c r="N178" s="12" t="s">
        <v>252</v>
      </c>
      <c r="O178" s="7"/>
      <c r="P178" s="7"/>
      <c r="Q178" s="7"/>
    </row>
    <row r="179" spans="1:17" ht="133.5" customHeight="1" x14ac:dyDescent="0.3">
      <c r="A179" s="13" t="s">
        <v>1407</v>
      </c>
      <c r="B179" s="10" t="s">
        <v>1408</v>
      </c>
      <c r="C179" s="10" t="s">
        <v>1409</v>
      </c>
      <c r="D179" s="14" t="s">
        <v>147</v>
      </c>
      <c r="E179" s="10" t="s">
        <v>236</v>
      </c>
      <c r="F179" s="10" t="s">
        <v>341</v>
      </c>
      <c r="G179" s="10" t="s">
        <v>1410</v>
      </c>
      <c r="H179" s="10" t="s">
        <v>258</v>
      </c>
      <c r="I179" s="10" t="s">
        <v>1411</v>
      </c>
      <c r="J179" s="14" t="s">
        <v>185</v>
      </c>
      <c r="K179" s="10" t="s">
        <v>344</v>
      </c>
      <c r="L179" s="14" t="s">
        <v>250</v>
      </c>
      <c r="M179" s="14" t="s">
        <v>251</v>
      </c>
      <c r="N179" s="14" t="s">
        <v>267</v>
      </c>
      <c r="O179" s="10"/>
      <c r="P179" s="10"/>
      <c r="Q179" s="10"/>
    </row>
    <row r="180" spans="1:17" ht="120" customHeight="1" x14ac:dyDescent="0.3">
      <c r="A180" s="11" t="s">
        <v>1412</v>
      </c>
      <c r="B180" s="7" t="s">
        <v>1413</v>
      </c>
      <c r="C180" s="7" t="s">
        <v>1414</v>
      </c>
      <c r="D180" s="12" t="s">
        <v>155</v>
      </c>
      <c r="E180" s="7" t="s">
        <v>236</v>
      </c>
      <c r="F180" s="7" t="s">
        <v>1415</v>
      </c>
      <c r="G180" s="7" t="s">
        <v>1416</v>
      </c>
      <c r="H180" s="7" t="s">
        <v>258</v>
      </c>
      <c r="I180" s="7" t="s">
        <v>1417</v>
      </c>
      <c r="J180" s="12" t="s">
        <v>185</v>
      </c>
      <c r="K180" s="7" t="s">
        <v>391</v>
      </c>
      <c r="L180" s="12" t="s">
        <v>250</v>
      </c>
      <c r="M180" s="12" t="s">
        <v>251</v>
      </c>
      <c r="N180" s="12" t="s">
        <v>252</v>
      </c>
      <c r="O180" s="7"/>
      <c r="P180" s="7"/>
      <c r="Q180" s="7"/>
    </row>
    <row r="181" spans="1:17" ht="120" customHeight="1" x14ac:dyDescent="0.3">
      <c r="A181" s="13" t="s">
        <v>1418</v>
      </c>
      <c r="B181" s="10" t="s">
        <v>1419</v>
      </c>
      <c r="C181" s="10" t="s">
        <v>1420</v>
      </c>
      <c r="D181" s="14" t="s">
        <v>147</v>
      </c>
      <c r="E181" s="10" t="s">
        <v>236</v>
      </c>
      <c r="F181" s="10" t="s">
        <v>1421</v>
      </c>
      <c r="G181" s="10" t="s">
        <v>1422</v>
      </c>
      <c r="H181" s="10" t="s">
        <v>258</v>
      </c>
      <c r="I181" s="10" t="s">
        <v>1423</v>
      </c>
      <c r="J181" s="14" t="s">
        <v>185</v>
      </c>
      <c r="K181" s="10" t="s">
        <v>1424</v>
      </c>
      <c r="L181" s="14" t="s">
        <v>250</v>
      </c>
      <c r="M181" s="14" t="s">
        <v>251</v>
      </c>
      <c r="N181" s="14" t="s">
        <v>252</v>
      </c>
      <c r="O181" s="10"/>
      <c r="P181" s="10"/>
      <c r="Q181" s="10"/>
    </row>
    <row r="182" spans="1:17" ht="120" customHeight="1" x14ac:dyDescent="0.3">
      <c r="A182" s="11" t="s">
        <v>1425</v>
      </c>
      <c r="B182" s="7" t="s">
        <v>1426</v>
      </c>
      <c r="C182" s="7" t="s">
        <v>1427</v>
      </c>
      <c r="D182" s="12" t="s">
        <v>155</v>
      </c>
      <c r="E182" s="7" t="s">
        <v>236</v>
      </c>
      <c r="F182" s="7" t="s">
        <v>1421</v>
      </c>
      <c r="G182" s="7" t="s">
        <v>1428</v>
      </c>
      <c r="H182" s="7" t="s">
        <v>258</v>
      </c>
      <c r="I182" s="7" t="s">
        <v>1429</v>
      </c>
      <c r="J182" s="12" t="s">
        <v>185</v>
      </c>
      <c r="K182" s="7" t="s">
        <v>391</v>
      </c>
      <c r="L182" s="12" t="s">
        <v>250</v>
      </c>
      <c r="M182" s="12" t="s">
        <v>251</v>
      </c>
      <c r="N182" s="12" t="s">
        <v>252</v>
      </c>
      <c r="O182" s="7"/>
      <c r="P182" s="7"/>
      <c r="Q182" s="7"/>
    </row>
    <row r="183" spans="1:17" ht="78.75" customHeight="1" x14ac:dyDescent="0.3">
      <c r="A183" s="13" t="s">
        <v>1430</v>
      </c>
      <c r="B183" s="10" t="s">
        <v>1431</v>
      </c>
      <c r="C183" s="10" t="s">
        <v>1432</v>
      </c>
      <c r="D183" s="14" t="s">
        <v>147</v>
      </c>
      <c r="E183" s="10" t="s">
        <v>464</v>
      </c>
      <c r="F183" s="10" t="s">
        <v>222</v>
      </c>
      <c r="G183" s="10" t="s">
        <v>1433</v>
      </c>
      <c r="H183" s="10" t="s">
        <v>1434</v>
      </c>
      <c r="I183" s="10" t="s">
        <v>1435</v>
      </c>
      <c r="J183" s="14" t="s">
        <v>188</v>
      </c>
      <c r="K183" s="10" t="s">
        <v>1436</v>
      </c>
      <c r="L183" s="14" t="s">
        <v>250</v>
      </c>
      <c r="M183" s="14" t="s">
        <v>251</v>
      </c>
      <c r="N183" s="14" t="s">
        <v>252</v>
      </c>
      <c r="O183" s="10"/>
      <c r="P183" s="10"/>
      <c r="Q183" s="10"/>
    </row>
    <row r="184" spans="1:17" ht="147" customHeight="1" x14ac:dyDescent="0.3">
      <c r="A184" s="11" t="s">
        <v>1437</v>
      </c>
      <c r="B184" s="7" t="s">
        <v>1438</v>
      </c>
      <c r="C184" s="7" t="s">
        <v>1439</v>
      </c>
      <c r="D184" s="12" t="s">
        <v>142</v>
      </c>
      <c r="E184" s="7" t="s">
        <v>221</v>
      </c>
      <c r="F184" s="7" t="s">
        <v>895</v>
      </c>
      <c r="G184" s="7" t="s">
        <v>1440</v>
      </c>
      <c r="H184" s="7" t="s">
        <v>258</v>
      </c>
      <c r="I184" s="7" t="s">
        <v>1441</v>
      </c>
      <c r="J184" s="12" t="s">
        <v>188</v>
      </c>
      <c r="K184" s="7" t="s">
        <v>1442</v>
      </c>
      <c r="L184" s="12" t="s">
        <v>227</v>
      </c>
      <c r="M184" s="12" t="s">
        <v>251</v>
      </c>
      <c r="N184" s="12" t="s">
        <v>267</v>
      </c>
      <c r="O184" s="7" t="s">
        <v>1443</v>
      </c>
      <c r="P184" s="7" t="s">
        <v>231</v>
      </c>
      <c r="Q184" s="7" t="s">
        <v>830</v>
      </c>
    </row>
    <row r="185" spans="1:17" ht="147" customHeight="1" x14ac:dyDescent="0.3">
      <c r="A185" s="13" t="s">
        <v>1444</v>
      </c>
      <c r="B185" s="10" t="s">
        <v>1445</v>
      </c>
      <c r="C185" s="10" t="s">
        <v>1446</v>
      </c>
      <c r="D185" s="14" t="s">
        <v>147</v>
      </c>
      <c r="E185" s="10" t="s">
        <v>578</v>
      </c>
      <c r="F185" s="10" t="s">
        <v>1447</v>
      </c>
      <c r="G185" s="10" t="s">
        <v>1448</v>
      </c>
      <c r="H185" s="10" t="s">
        <v>1449</v>
      </c>
      <c r="I185" s="10" t="s">
        <v>1450</v>
      </c>
      <c r="J185" s="14" t="s">
        <v>191</v>
      </c>
      <c r="K185" s="10" t="s">
        <v>1451</v>
      </c>
      <c r="L185" s="14" t="s">
        <v>250</v>
      </c>
      <c r="M185" s="14" t="s">
        <v>251</v>
      </c>
      <c r="N185" s="14" t="s">
        <v>252</v>
      </c>
      <c r="O185" s="10"/>
      <c r="P185" s="10"/>
      <c r="Q185" s="10"/>
    </row>
    <row r="186" spans="1:17" ht="147" customHeight="1" x14ac:dyDescent="0.3">
      <c r="A186" s="11" t="s">
        <v>1452</v>
      </c>
      <c r="B186" s="7" t="s">
        <v>1453</v>
      </c>
      <c r="C186" s="7" t="s">
        <v>1446</v>
      </c>
      <c r="D186" s="12" t="s">
        <v>147</v>
      </c>
      <c r="E186" s="7" t="s">
        <v>1068</v>
      </c>
      <c r="F186" s="7" t="s">
        <v>1454</v>
      </c>
      <c r="G186" s="7" t="s">
        <v>1448</v>
      </c>
      <c r="H186" s="7" t="s">
        <v>1455</v>
      </c>
      <c r="I186" s="7" t="s">
        <v>1456</v>
      </c>
      <c r="J186" s="12" t="s">
        <v>191</v>
      </c>
      <c r="K186" s="7" t="s">
        <v>1457</v>
      </c>
      <c r="L186" s="12" t="s">
        <v>250</v>
      </c>
      <c r="M186" s="12" t="s">
        <v>251</v>
      </c>
      <c r="N186" s="12" t="s">
        <v>252</v>
      </c>
      <c r="O186" s="7"/>
      <c r="P186" s="7"/>
      <c r="Q186" s="7"/>
    </row>
    <row r="187" spans="1:17" ht="147" customHeight="1" x14ac:dyDescent="0.3">
      <c r="A187" s="13" t="s">
        <v>1458</v>
      </c>
      <c r="B187" s="10" t="s">
        <v>1459</v>
      </c>
      <c r="C187" s="10" t="s">
        <v>1460</v>
      </c>
      <c r="D187" s="14" t="s">
        <v>147</v>
      </c>
      <c r="E187" s="10" t="s">
        <v>464</v>
      </c>
      <c r="F187" s="10" t="s">
        <v>1461</v>
      </c>
      <c r="G187" s="10" t="s">
        <v>1462</v>
      </c>
      <c r="H187" s="10" t="s">
        <v>1463</v>
      </c>
      <c r="I187" s="10" t="s">
        <v>1464</v>
      </c>
      <c r="J187" s="14" t="s">
        <v>191</v>
      </c>
      <c r="K187" s="10" t="s">
        <v>1465</v>
      </c>
      <c r="L187" s="14" t="s">
        <v>250</v>
      </c>
      <c r="M187" s="14" t="s">
        <v>251</v>
      </c>
      <c r="N187" s="14" t="s">
        <v>252</v>
      </c>
      <c r="O187" s="10"/>
      <c r="P187" s="10"/>
      <c r="Q187" s="10"/>
    </row>
    <row r="188" spans="1:17" ht="201.75" customHeight="1" x14ac:dyDescent="0.3">
      <c r="A188" s="11" t="s">
        <v>1466</v>
      </c>
      <c r="B188" s="7" t="s">
        <v>1467</v>
      </c>
      <c r="C188" s="7" t="s">
        <v>1468</v>
      </c>
      <c r="D188" s="12" t="s">
        <v>142</v>
      </c>
      <c r="E188" s="7" t="s">
        <v>236</v>
      </c>
      <c r="F188" s="7" t="s">
        <v>991</v>
      </c>
      <c r="G188" s="7" t="s">
        <v>1469</v>
      </c>
      <c r="H188" s="7" t="s">
        <v>258</v>
      </c>
      <c r="I188" s="7" t="s">
        <v>1470</v>
      </c>
      <c r="J188" s="12" t="s">
        <v>191</v>
      </c>
      <c r="K188" s="7" t="s">
        <v>1471</v>
      </c>
      <c r="L188" s="12" t="s">
        <v>227</v>
      </c>
      <c r="M188" s="12" t="s">
        <v>251</v>
      </c>
      <c r="N188" s="12" t="s">
        <v>267</v>
      </c>
      <c r="O188" s="7" t="s">
        <v>1472</v>
      </c>
      <c r="P188" s="7" t="s">
        <v>346</v>
      </c>
      <c r="Q188" s="7" t="s">
        <v>269</v>
      </c>
    </row>
    <row r="189" spans="1:17" ht="133.5" customHeight="1" x14ac:dyDescent="0.3">
      <c r="A189" s="13" t="s">
        <v>1473</v>
      </c>
      <c r="B189" s="10" t="s">
        <v>1474</v>
      </c>
      <c r="C189" s="10" t="s">
        <v>1475</v>
      </c>
      <c r="D189" s="14" t="s">
        <v>147</v>
      </c>
      <c r="E189" s="10" t="s">
        <v>236</v>
      </c>
      <c r="F189" s="10" t="s">
        <v>1476</v>
      </c>
      <c r="G189" s="10" t="s">
        <v>1477</v>
      </c>
      <c r="H189" s="10" t="s">
        <v>258</v>
      </c>
      <c r="I189" s="10" t="s">
        <v>1478</v>
      </c>
      <c r="J189" s="14" t="s">
        <v>191</v>
      </c>
      <c r="K189" s="10" t="s">
        <v>1479</v>
      </c>
      <c r="L189" s="14" t="s">
        <v>250</v>
      </c>
      <c r="M189" s="14" t="s">
        <v>251</v>
      </c>
      <c r="N189" s="14" t="s">
        <v>252</v>
      </c>
      <c r="O189" s="10"/>
      <c r="P189" s="10"/>
      <c r="Q189" s="10"/>
    </row>
    <row r="190" spans="1:17" ht="120" customHeight="1" x14ac:dyDescent="0.3">
      <c r="A190" s="11" t="s">
        <v>1480</v>
      </c>
      <c r="B190" s="7" t="s">
        <v>1481</v>
      </c>
      <c r="C190" s="7" t="s">
        <v>1482</v>
      </c>
      <c r="D190" s="12" t="s">
        <v>147</v>
      </c>
      <c r="E190" s="7" t="s">
        <v>316</v>
      </c>
      <c r="F190" s="7" t="s">
        <v>1483</v>
      </c>
      <c r="G190" s="7" t="s">
        <v>1484</v>
      </c>
      <c r="H190" s="7" t="s">
        <v>909</v>
      </c>
      <c r="I190" s="7" t="s">
        <v>1485</v>
      </c>
      <c r="J190" s="12" t="s">
        <v>191</v>
      </c>
      <c r="K190" s="7" t="s">
        <v>1486</v>
      </c>
      <c r="L190" s="12" t="s">
        <v>250</v>
      </c>
      <c r="M190" s="12" t="s">
        <v>251</v>
      </c>
      <c r="N190" s="12" t="s">
        <v>252</v>
      </c>
      <c r="O190" s="7"/>
      <c r="P190" s="7"/>
      <c r="Q190" s="7"/>
    </row>
    <row r="191" spans="1:17" ht="133.5" customHeight="1" x14ac:dyDescent="0.3">
      <c r="A191" s="13" t="s">
        <v>1487</v>
      </c>
      <c r="B191" s="10" t="s">
        <v>1488</v>
      </c>
      <c r="C191" s="10" t="s">
        <v>1489</v>
      </c>
      <c r="D191" s="14" t="s">
        <v>155</v>
      </c>
      <c r="E191" s="10" t="s">
        <v>236</v>
      </c>
      <c r="F191" s="10" t="s">
        <v>1490</v>
      </c>
      <c r="G191" s="10" t="s">
        <v>1491</v>
      </c>
      <c r="H191" s="10" t="s">
        <v>258</v>
      </c>
      <c r="I191" s="10" t="s">
        <v>1492</v>
      </c>
      <c r="J191" s="14" t="s">
        <v>191</v>
      </c>
      <c r="K191" s="10" t="s">
        <v>420</v>
      </c>
      <c r="L191" s="14" t="s">
        <v>250</v>
      </c>
      <c r="M191" s="14" t="s">
        <v>251</v>
      </c>
      <c r="N191" s="14" t="s">
        <v>252</v>
      </c>
      <c r="O191" s="10"/>
      <c r="P191" s="10"/>
      <c r="Q191" s="10"/>
    </row>
    <row r="192" spans="1:17" ht="105.75" customHeight="1" x14ac:dyDescent="0.3">
      <c r="A192" s="11" t="s">
        <v>1493</v>
      </c>
      <c r="B192" s="7" t="s">
        <v>1494</v>
      </c>
      <c r="C192" s="7" t="s">
        <v>1495</v>
      </c>
      <c r="D192" s="12" t="s">
        <v>155</v>
      </c>
      <c r="E192" s="7" t="s">
        <v>236</v>
      </c>
      <c r="F192" s="7" t="s">
        <v>245</v>
      </c>
      <c r="G192" s="7" t="s">
        <v>1496</v>
      </c>
      <c r="H192" s="7" t="s">
        <v>258</v>
      </c>
      <c r="I192" s="7" t="s">
        <v>1497</v>
      </c>
      <c r="J192" s="12" t="s">
        <v>94</v>
      </c>
      <c r="K192" s="7" t="s">
        <v>1498</v>
      </c>
      <c r="L192" s="12" t="s">
        <v>250</v>
      </c>
      <c r="M192" s="12" t="s">
        <v>251</v>
      </c>
      <c r="N192" s="12" t="s">
        <v>252</v>
      </c>
      <c r="O192" s="7"/>
      <c r="P192" s="7"/>
      <c r="Q192" s="7"/>
    </row>
    <row r="193" spans="1:17" ht="105.75" customHeight="1" x14ac:dyDescent="0.3">
      <c r="A193" s="13" t="s">
        <v>1499</v>
      </c>
      <c r="B193" s="10" t="s">
        <v>1500</v>
      </c>
      <c r="C193" s="10" t="s">
        <v>1501</v>
      </c>
      <c r="D193" s="14" t="s">
        <v>155</v>
      </c>
      <c r="E193" s="10" t="s">
        <v>236</v>
      </c>
      <c r="F193" s="10" t="s">
        <v>245</v>
      </c>
      <c r="G193" s="10" t="s">
        <v>1502</v>
      </c>
      <c r="H193" s="10" t="s">
        <v>258</v>
      </c>
      <c r="I193" s="10" t="s">
        <v>1503</v>
      </c>
      <c r="J193" s="14" t="s">
        <v>94</v>
      </c>
      <c r="K193" s="10" t="s">
        <v>249</v>
      </c>
      <c r="L193" s="14" t="s">
        <v>250</v>
      </c>
      <c r="M193" s="14" t="s">
        <v>251</v>
      </c>
      <c r="N193" s="14" t="s">
        <v>252</v>
      </c>
      <c r="O193" s="10"/>
      <c r="P193" s="10"/>
      <c r="Q193" s="10"/>
    </row>
    <row r="194" spans="1:17" ht="105.75" customHeight="1" x14ac:dyDescent="0.3">
      <c r="A194" s="11" t="s">
        <v>1504</v>
      </c>
      <c r="B194" s="7" t="s">
        <v>1505</v>
      </c>
      <c r="C194" s="7" t="s">
        <v>1506</v>
      </c>
      <c r="D194" s="12" t="s">
        <v>256</v>
      </c>
      <c r="E194" s="7" t="s">
        <v>236</v>
      </c>
      <c r="F194" s="7" t="s">
        <v>245</v>
      </c>
      <c r="G194" s="7" t="s">
        <v>1502</v>
      </c>
      <c r="H194" s="7" t="s">
        <v>258</v>
      </c>
      <c r="I194" s="7" t="s">
        <v>1507</v>
      </c>
      <c r="J194" s="12" t="s">
        <v>94</v>
      </c>
      <c r="K194" s="7" t="s">
        <v>249</v>
      </c>
      <c r="L194" s="12" t="s">
        <v>250</v>
      </c>
      <c r="M194" s="12" t="s">
        <v>251</v>
      </c>
      <c r="N194" s="12" t="s">
        <v>252</v>
      </c>
      <c r="O194" s="7"/>
      <c r="P194" s="7"/>
      <c r="Q194" s="7"/>
    </row>
    <row r="195" spans="1:17" ht="78.75" customHeight="1" x14ac:dyDescent="0.3">
      <c r="A195" s="13" t="s">
        <v>1508</v>
      </c>
      <c r="B195" s="10" t="s">
        <v>1509</v>
      </c>
      <c r="C195" s="10" t="s">
        <v>1510</v>
      </c>
      <c r="D195" s="14" t="s">
        <v>142</v>
      </c>
      <c r="E195" s="10" t="s">
        <v>464</v>
      </c>
      <c r="F195" s="10" t="s">
        <v>222</v>
      </c>
      <c r="G195" s="10" t="s">
        <v>1511</v>
      </c>
      <c r="H195" s="10" t="s">
        <v>1512</v>
      </c>
      <c r="I195" s="10" t="s">
        <v>1513</v>
      </c>
      <c r="J195" s="14" t="s">
        <v>103</v>
      </c>
      <c r="K195" s="10" t="s">
        <v>1514</v>
      </c>
      <c r="L195" s="14" t="s">
        <v>227</v>
      </c>
      <c r="M195" s="14" t="s">
        <v>228</v>
      </c>
      <c r="N195" s="14" t="s">
        <v>229</v>
      </c>
      <c r="O195" s="10" t="s">
        <v>1515</v>
      </c>
      <c r="P195" s="10" t="s">
        <v>231</v>
      </c>
      <c r="Q195" s="10" t="s">
        <v>232</v>
      </c>
    </row>
    <row r="196" spans="1:17" ht="78.75" customHeight="1" x14ac:dyDescent="0.3">
      <c r="A196" s="11" t="s">
        <v>1516</v>
      </c>
      <c r="B196" s="7" t="s">
        <v>1517</v>
      </c>
      <c r="C196" s="7" t="s">
        <v>1518</v>
      </c>
      <c r="D196" s="12" t="s">
        <v>142</v>
      </c>
      <c r="E196" s="7" t="s">
        <v>464</v>
      </c>
      <c r="F196" s="7" t="s">
        <v>222</v>
      </c>
      <c r="G196" s="7" t="s">
        <v>1519</v>
      </c>
      <c r="H196" s="7" t="s">
        <v>1520</v>
      </c>
      <c r="I196" s="7" t="s">
        <v>1521</v>
      </c>
      <c r="J196" s="12" t="s">
        <v>103</v>
      </c>
      <c r="K196" s="7" t="s">
        <v>1522</v>
      </c>
      <c r="L196" s="12" t="s">
        <v>227</v>
      </c>
      <c r="M196" s="12" t="s">
        <v>228</v>
      </c>
      <c r="N196" s="12" t="s">
        <v>229</v>
      </c>
      <c r="O196" s="7" t="s">
        <v>1523</v>
      </c>
      <c r="P196" s="7" t="s">
        <v>231</v>
      </c>
      <c r="Q196" s="7" t="s">
        <v>232</v>
      </c>
    </row>
    <row r="197" spans="1:17" ht="105.75" customHeight="1" x14ac:dyDescent="0.3">
      <c r="A197" s="13" t="s">
        <v>1524</v>
      </c>
      <c r="B197" s="10" t="s">
        <v>1525</v>
      </c>
      <c r="C197" s="10" t="s">
        <v>1526</v>
      </c>
      <c r="D197" s="14" t="s">
        <v>147</v>
      </c>
      <c r="E197" s="10" t="s">
        <v>395</v>
      </c>
      <c r="F197" s="10" t="s">
        <v>1200</v>
      </c>
      <c r="G197" s="10" t="s">
        <v>1527</v>
      </c>
      <c r="H197" s="10" t="s">
        <v>258</v>
      </c>
      <c r="I197" s="10" t="s">
        <v>1528</v>
      </c>
      <c r="J197" s="14" t="s">
        <v>103</v>
      </c>
      <c r="K197" s="10" t="s">
        <v>391</v>
      </c>
      <c r="L197" s="14" t="s">
        <v>250</v>
      </c>
      <c r="M197" s="14" t="s">
        <v>251</v>
      </c>
      <c r="N197" s="14" t="s">
        <v>252</v>
      </c>
      <c r="O197" s="10"/>
      <c r="P197" s="10"/>
      <c r="Q197" s="10"/>
    </row>
    <row r="198" spans="1:17" ht="78.75" customHeight="1" x14ac:dyDescent="0.3">
      <c r="A198" s="11" t="s">
        <v>1529</v>
      </c>
      <c r="B198" s="7" t="s">
        <v>1530</v>
      </c>
      <c r="C198" s="7" t="s">
        <v>1531</v>
      </c>
      <c r="D198" s="12" t="s">
        <v>147</v>
      </c>
      <c r="E198" s="7" t="s">
        <v>464</v>
      </c>
      <c r="F198" s="7" t="s">
        <v>222</v>
      </c>
      <c r="G198" s="7" t="s">
        <v>1532</v>
      </c>
      <c r="H198" s="7" t="s">
        <v>1533</v>
      </c>
      <c r="I198" s="7" t="s">
        <v>1534</v>
      </c>
      <c r="J198" s="12" t="s">
        <v>103</v>
      </c>
      <c r="K198" s="7" t="s">
        <v>1535</v>
      </c>
      <c r="L198" s="12" t="s">
        <v>250</v>
      </c>
      <c r="M198" s="12" t="s">
        <v>251</v>
      </c>
      <c r="N198" s="12" t="s">
        <v>267</v>
      </c>
      <c r="O198" s="7"/>
      <c r="P198" s="7"/>
      <c r="Q198" s="7"/>
    </row>
    <row r="199" spans="1:17" ht="228.75" customHeight="1" x14ac:dyDescent="0.3">
      <c r="A199" s="13" t="s">
        <v>1536</v>
      </c>
      <c r="B199" s="10" t="s">
        <v>1537</v>
      </c>
      <c r="C199" s="10" t="s">
        <v>1538</v>
      </c>
      <c r="D199" s="14" t="s">
        <v>142</v>
      </c>
      <c r="E199" s="10" t="s">
        <v>464</v>
      </c>
      <c r="F199" s="10" t="s">
        <v>222</v>
      </c>
      <c r="G199" s="10" t="s">
        <v>1539</v>
      </c>
      <c r="H199" s="10" t="s">
        <v>1540</v>
      </c>
      <c r="I199" s="10" t="s">
        <v>1541</v>
      </c>
      <c r="J199" s="14" t="s">
        <v>103</v>
      </c>
      <c r="K199" s="10" t="s">
        <v>1542</v>
      </c>
      <c r="L199" s="14" t="s">
        <v>227</v>
      </c>
      <c r="M199" s="14" t="s">
        <v>228</v>
      </c>
      <c r="N199" s="14" t="s">
        <v>229</v>
      </c>
      <c r="O199" s="10" t="s">
        <v>1543</v>
      </c>
      <c r="P199" s="10" t="s">
        <v>231</v>
      </c>
      <c r="Q199" s="10" t="s">
        <v>232</v>
      </c>
    </row>
    <row r="200" spans="1:17" ht="105.75" customHeight="1" x14ac:dyDescent="0.3">
      <c r="A200" s="11" t="s">
        <v>1544</v>
      </c>
      <c r="B200" s="7" t="s">
        <v>1545</v>
      </c>
      <c r="C200" s="7" t="s">
        <v>1546</v>
      </c>
      <c r="D200" s="12" t="s">
        <v>147</v>
      </c>
      <c r="E200" s="7" t="s">
        <v>59</v>
      </c>
      <c r="F200" s="7" t="s">
        <v>1547</v>
      </c>
      <c r="G200" s="7" t="s">
        <v>1548</v>
      </c>
      <c r="H200" s="7" t="s">
        <v>1549</v>
      </c>
      <c r="I200" s="7" t="s">
        <v>1550</v>
      </c>
      <c r="J200" s="12" t="s">
        <v>197</v>
      </c>
      <c r="K200" s="7" t="s">
        <v>332</v>
      </c>
      <c r="L200" s="12" t="s">
        <v>250</v>
      </c>
      <c r="M200" s="12" t="s">
        <v>251</v>
      </c>
      <c r="N200" s="12" t="s">
        <v>252</v>
      </c>
      <c r="O200" s="7"/>
      <c r="P200" s="7"/>
      <c r="Q200" s="7"/>
    </row>
    <row r="201" spans="1:17" ht="105.75" customHeight="1" x14ac:dyDescent="0.3">
      <c r="A201" s="13" t="s">
        <v>1551</v>
      </c>
      <c r="B201" s="10" t="s">
        <v>1552</v>
      </c>
      <c r="C201" s="10" t="s">
        <v>1553</v>
      </c>
      <c r="D201" s="14" t="s">
        <v>147</v>
      </c>
      <c r="E201" s="10" t="s">
        <v>59</v>
      </c>
      <c r="F201" s="10" t="s">
        <v>1554</v>
      </c>
      <c r="G201" s="10" t="s">
        <v>1555</v>
      </c>
      <c r="H201" s="10" t="s">
        <v>1556</v>
      </c>
      <c r="I201" s="10" t="s">
        <v>1557</v>
      </c>
      <c r="J201" s="14" t="s">
        <v>197</v>
      </c>
      <c r="K201" s="10" t="s">
        <v>1558</v>
      </c>
      <c r="L201" s="14" t="s">
        <v>250</v>
      </c>
      <c r="M201" s="14" t="s">
        <v>251</v>
      </c>
      <c r="N201" s="14" t="s">
        <v>252</v>
      </c>
      <c r="O201" s="10"/>
      <c r="P201" s="10"/>
      <c r="Q201" s="10"/>
    </row>
    <row r="202" spans="1:17" ht="133.5" customHeight="1" x14ac:dyDescent="0.3">
      <c r="A202" s="11" t="s">
        <v>1559</v>
      </c>
      <c r="B202" s="7" t="s">
        <v>1560</v>
      </c>
      <c r="C202" s="7" t="s">
        <v>1561</v>
      </c>
      <c r="D202" s="12" t="s">
        <v>155</v>
      </c>
      <c r="E202" s="7" t="s">
        <v>672</v>
      </c>
      <c r="F202" s="7" t="s">
        <v>1562</v>
      </c>
      <c r="G202" s="7" t="s">
        <v>1563</v>
      </c>
      <c r="H202" s="7" t="s">
        <v>1564</v>
      </c>
      <c r="I202" s="7" t="s">
        <v>1295</v>
      </c>
      <c r="J202" s="12" t="s">
        <v>199</v>
      </c>
      <c r="K202" s="7" t="s">
        <v>460</v>
      </c>
      <c r="L202" s="12" t="s">
        <v>250</v>
      </c>
      <c r="M202" s="12" t="s">
        <v>251</v>
      </c>
      <c r="N202" s="12" t="s">
        <v>252</v>
      </c>
      <c r="O202" s="7"/>
      <c r="P202" s="7"/>
      <c r="Q202" s="7"/>
    </row>
    <row r="203" spans="1:17" ht="133.5" customHeight="1" x14ac:dyDescent="0.3">
      <c r="A203" s="13" t="s">
        <v>1565</v>
      </c>
      <c r="B203" s="10" t="s">
        <v>1566</v>
      </c>
      <c r="C203" s="10" t="s">
        <v>1561</v>
      </c>
      <c r="D203" s="14" t="s">
        <v>155</v>
      </c>
      <c r="E203" s="10" t="s">
        <v>449</v>
      </c>
      <c r="F203" s="10" t="s">
        <v>1562</v>
      </c>
      <c r="G203" s="10" t="s">
        <v>1567</v>
      </c>
      <c r="H203" s="10" t="s">
        <v>1568</v>
      </c>
      <c r="I203" s="10" t="s">
        <v>1569</v>
      </c>
      <c r="J203" s="14" t="s">
        <v>199</v>
      </c>
      <c r="K203" s="10" t="s">
        <v>391</v>
      </c>
      <c r="L203" s="14" t="s">
        <v>250</v>
      </c>
      <c r="M203" s="14" t="s">
        <v>251</v>
      </c>
      <c r="N203" s="14" t="s">
        <v>252</v>
      </c>
      <c r="O203" s="10"/>
      <c r="P203" s="10"/>
      <c r="Q203" s="10"/>
    </row>
    <row r="204" spans="1:17" ht="133.5" customHeight="1" x14ac:dyDescent="0.3">
      <c r="A204" s="11" t="s">
        <v>1570</v>
      </c>
      <c r="B204" s="7" t="s">
        <v>1571</v>
      </c>
      <c r="C204" s="7" t="s">
        <v>1572</v>
      </c>
      <c r="D204" s="12" t="s">
        <v>142</v>
      </c>
      <c r="E204" s="7" t="s">
        <v>591</v>
      </c>
      <c r="F204" s="7" t="s">
        <v>1562</v>
      </c>
      <c r="G204" s="7" t="s">
        <v>1573</v>
      </c>
      <c r="H204" s="7" t="s">
        <v>1574</v>
      </c>
      <c r="I204" s="7" t="s">
        <v>1575</v>
      </c>
      <c r="J204" s="12" t="s">
        <v>199</v>
      </c>
      <c r="K204" s="7" t="s">
        <v>344</v>
      </c>
      <c r="L204" s="12" t="s">
        <v>227</v>
      </c>
      <c r="M204" s="12" t="s">
        <v>251</v>
      </c>
      <c r="N204" s="12" t="s">
        <v>267</v>
      </c>
      <c r="O204" s="7" t="s">
        <v>1576</v>
      </c>
      <c r="P204" s="7" t="s">
        <v>346</v>
      </c>
      <c r="Q204" s="7" t="s">
        <v>269</v>
      </c>
    </row>
    <row r="205" spans="1:17" ht="133.5" customHeight="1" x14ac:dyDescent="0.3">
      <c r="A205" s="13" t="s">
        <v>1577</v>
      </c>
      <c r="B205" s="10" t="s">
        <v>1578</v>
      </c>
      <c r="C205" s="10" t="s">
        <v>1572</v>
      </c>
      <c r="D205" s="14" t="s">
        <v>147</v>
      </c>
      <c r="E205" s="10" t="s">
        <v>591</v>
      </c>
      <c r="F205" s="10" t="s">
        <v>1562</v>
      </c>
      <c r="G205" s="10" t="s">
        <v>1579</v>
      </c>
      <c r="H205" s="10" t="s">
        <v>1580</v>
      </c>
      <c r="I205" s="10" t="s">
        <v>1581</v>
      </c>
      <c r="J205" s="14" t="s">
        <v>199</v>
      </c>
      <c r="K205" s="10" t="s">
        <v>391</v>
      </c>
      <c r="L205" s="14" t="s">
        <v>250</v>
      </c>
      <c r="M205" s="14" t="s">
        <v>251</v>
      </c>
      <c r="N205" s="14" t="s">
        <v>252</v>
      </c>
      <c r="O205" s="10"/>
      <c r="P205" s="10"/>
      <c r="Q205" s="10"/>
    </row>
    <row r="206" spans="1:17" ht="133.5" customHeight="1" x14ac:dyDescent="0.3">
      <c r="A206" s="11" t="s">
        <v>1582</v>
      </c>
      <c r="B206" s="7" t="s">
        <v>1583</v>
      </c>
      <c r="C206" s="7" t="s">
        <v>1572</v>
      </c>
      <c r="D206" s="12" t="s">
        <v>147</v>
      </c>
      <c r="E206" s="7" t="s">
        <v>591</v>
      </c>
      <c r="F206" s="7" t="s">
        <v>1562</v>
      </c>
      <c r="G206" s="7" t="s">
        <v>1584</v>
      </c>
      <c r="H206" s="7" t="s">
        <v>1585</v>
      </c>
      <c r="I206" s="7" t="s">
        <v>1586</v>
      </c>
      <c r="J206" s="12" t="s">
        <v>199</v>
      </c>
      <c r="K206" s="7" t="s">
        <v>391</v>
      </c>
      <c r="L206" s="12" t="s">
        <v>250</v>
      </c>
      <c r="M206" s="12" t="s">
        <v>251</v>
      </c>
      <c r="N206" s="12" t="s">
        <v>252</v>
      </c>
      <c r="O206" s="7"/>
      <c r="P206" s="7"/>
      <c r="Q206" s="7"/>
    </row>
    <row r="207" spans="1:17" ht="160.5" customHeight="1" x14ac:dyDescent="0.3">
      <c r="A207" s="13" t="s">
        <v>1587</v>
      </c>
      <c r="B207" s="10" t="s">
        <v>1588</v>
      </c>
      <c r="C207" s="10" t="s">
        <v>1589</v>
      </c>
      <c r="D207" s="14" t="s">
        <v>147</v>
      </c>
      <c r="E207" s="10" t="s">
        <v>599</v>
      </c>
      <c r="F207" s="10" t="s">
        <v>1562</v>
      </c>
      <c r="G207" s="10" t="s">
        <v>1590</v>
      </c>
      <c r="H207" s="10" t="s">
        <v>1591</v>
      </c>
      <c r="I207" s="10" t="s">
        <v>1592</v>
      </c>
      <c r="J207" s="14" t="s">
        <v>199</v>
      </c>
      <c r="K207" s="10" t="s">
        <v>391</v>
      </c>
      <c r="L207" s="14" t="s">
        <v>1243</v>
      </c>
      <c r="M207" s="14" t="s">
        <v>251</v>
      </c>
      <c r="N207" s="14" t="s">
        <v>252</v>
      </c>
      <c r="O207" s="10" t="s">
        <v>1593</v>
      </c>
      <c r="P207" s="10" t="s">
        <v>231</v>
      </c>
      <c r="Q207" s="10" t="s">
        <v>269</v>
      </c>
    </row>
    <row r="208" spans="1:17" ht="133.5" customHeight="1" x14ac:dyDescent="0.3">
      <c r="A208" s="11" t="s">
        <v>1594</v>
      </c>
      <c r="B208" s="7" t="s">
        <v>1595</v>
      </c>
      <c r="C208" s="7" t="s">
        <v>1596</v>
      </c>
      <c r="D208" s="12" t="s">
        <v>147</v>
      </c>
      <c r="E208" s="7" t="s">
        <v>599</v>
      </c>
      <c r="F208" s="7" t="s">
        <v>1562</v>
      </c>
      <c r="G208" s="7" t="s">
        <v>1597</v>
      </c>
      <c r="H208" s="7" t="s">
        <v>1598</v>
      </c>
      <c r="I208" s="7" t="s">
        <v>1599</v>
      </c>
      <c r="J208" s="12" t="s">
        <v>199</v>
      </c>
      <c r="K208" s="7" t="s">
        <v>460</v>
      </c>
      <c r="L208" s="12" t="s">
        <v>250</v>
      </c>
      <c r="M208" s="12" t="s">
        <v>251</v>
      </c>
      <c r="N208" s="12" t="s">
        <v>252</v>
      </c>
      <c r="O208" s="7"/>
      <c r="P208" s="7"/>
      <c r="Q208" s="7"/>
    </row>
    <row r="209" spans="1:17" ht="147" customHeight="1" x14ac:dyDescent="0.3">
      <c r="A209" s="13" t="s">
        <v>1600</v>
      </c>
      <c r="B209" s="10" t="s">
        <v>1601</v>
      </c>
      <c r="C209" s="10" t="s">
        <v>1602</v>
      </c>
      <c r="D209" s="14" t="s">
        <v>147</v>
      </c>
      <c r="E209" s="10" t="s">
        <v>236</v>
      </c>
      <c r="F209" s="10" t="s">
        <v>1562</v>
      </c>
      <c r="G209" s="10" t="s">
        <v>1603</v>
      </c>
      <c r="H209" s="10" t="s">
        <v>258</v>
      </c>
      <c r="I209" s="10" t="s">
        <v>1604</v>
      </c>
      <c r="J209" s="14" t="s">
        <v>199</v>
      </c>
      <c r="K209" s="10" t="s">
        <v>344</v>
      </c>
      <c r="L209" s="14" t="s">
        <v>250</v>
      </c>
      <c r="M209" s="14" t="s">
        <v>251</v>
      </c>
      <c r="N209" s="14" t="s">
        <v>267</v>
      </c>
      <c r="O209" s="10"/>
      <c r="P209" s="10"/>
      <c r="Q209" s="10"/>
    </row>
    <row r="210" spans="1:17" ht="133.5" customHeight="1" x14ac:dyDescent="0.3">
      <c r="A210" s="11" t="s">
        <v>1605</v>
      </c>
      <c r="B210" s="7" t="s">
        <v>1606</v>
      </c>
      <c r="C210" s="7" t="s">
        <v>1607</v>
      </c>
      <c r="D210" s="12" t="s">
        <v>142</v>
      </c>
      <c r="E210" s="7" t="s">
        <v>236</v>
      </c>
      <c r="F210" s="7" t="s">
        <v>1562</v>
      </c>
      <c r="G210" s="7" t="s">
        <v>1608</v>
      </c>
      <c r="H210" s="7" t="s">
        <v>1609</v>
      </c>
      <c r="I210" s="7" t="s">
        <v>1610</v>
      </c>
      <c r="J210" s="12" t="s">
        <v>199</v>
      </c>
      <c r="K210" s="7" t="s">
        <v>344</v>
      </c>
      <c r="L210" s="12" t="s">
        <v>227</v>
      </c>
      <c r="M210" s="12" t="s">
        <v>251</v>
      </c>
      <c r="N210" s="12" t="s">
        <v>267</v>
      </c>
      <c r="O210" s="7" t="s">
        <v>1611</v>
      </c>
      <c r="P210" s="7" t="s">
        <v>346</v>
      </c>
      <c r="Q210" s="7" t="s">
        <v>269</v>
      </c>
    </row>
    <row r="211" spans="1:17" ht="133.5" customHeight="1" x14ac:dyDescent="0.3">
      <c r="A211" s="13" t="s">
        <v>1612</v>
      </c>
      <c r="B211" s="10" t="s">
        <v>1613</v>
      </c>
      <c r="C211" s="10" t="s">
        <v>1614</v>
      </c>
      <c r="D211" s="14" t="s">
        <v>155</v>
      </c>
      <c r="E211" s="10" t="s">
        <v>236</v>
      </c>
      <c r="F211" s="10" t="s">
        <v>1562</v>
      </c>
      <c r="G211" s="10" t="s">
        <v>1615</v>
      </c>
      <c r="H211" s="10" t="s">
        <v>1616</v>
      </c>
      <c r="I211" s="10" t="s">
        <v>1617</v>
      </c>
      <c r="J211" s="14" t="s">
        <v>199</v>
      </c>
      <c r="K211" s="10" t="s">
        <v>1618</v>
      </c>
      <c r="L211" s="14" t="s">
        <v>250</v>
      </c>
      <c r="M211" s="14" t="s">
        <v>251</v>
      </c>
      <c r="N211" s="14" t="s">
        <v>252</v>
      </c>
      <c r="O211" s="10"/>
      <c r="P211" s="10"/>
      <c r="Q211" s="10"/>
    </row>
    <row r="212" spans="1:17" ht="160.5" customHeight="1" x14ac:dyDescent="0.3">
      <c r="A212" s="11" t="s">
        <v>1619</v>
      </c>
      <c r="B212" s="7" t="s">
        <v>1620</v>
      </c>
      <c r="C212" s="7" t="s">
        <v>1621</v>
      </c>
      <c r="D212" s="12" t="s">
        <v>147</v>
      </c>
      <c r="E212" s="7" t="s">
        <v>236</v>
      </c>
      <c r="F212" s="7" t="s">
        <v>1622</v>
      </c>
      <c r="G212" s="7" t="s">
        <v>1623</v>
      </c>
      <c r="H212" s="7" t="s">
        <v>1624</v>
      </c>
      <c r="I212" s="7" t="s">
        <v>1625</v>
      </c>
      <c r="J212" s="12" t="s">
        <v>199</v>
      </c>
      <c r="K212" s="7" t="s">
        <v>1626</v>
      </c>
      <c r="L212" s="12" t="s">
        <v>250</v>
      </c>
      <c r="M212" s="12" t="s">
        <v>251</v>
      </c>
      <c r="N212" s="12" t="s">
        <v>252</v>
      </c>
      <c r="O212" s="7"/>
      <c r="P212" s="7"/>
      <c r="Q212" s="7"/>
    </row>
    <row r="213" spans="1:17" ht="133.5" customHeight="1" x14ac:dyDescent="0.3">
      <c r="A213" s="13" t="s">
        <v>1627</v>
      </c>
      <c r="B213" s="10" t="s">
        <v>1628</v>
      </c>
      <c r="C213" s="10" t="s">
        <v>1629</v>
      </c>
      <c r="D213" s="14" t="s">
        <v>155</v>
      </c>
      <c r="E213" s="10" t="s">
        <v>236</v>
      </c>
      <c r="F213" s="10" t="s">
        <v>1562</v>
      </c>
      <c r="G213" s="10" t="s">
        <v>1630</v>
      </c>
      <c r="H213" s="10" t="s">
        <v>1631</v>
      </c>
      <c r="I213" s="10" t="s">
        <v>1632</v>
      </c>
      <c r="J213" s="14" t="s">
        <v>199</v>
      </c>
      <c r="K213" s="10" t="s">
        <v>391</v>
      </c>
      <c r="L213" s="14" t="s">
        <v>250</v>
      </c>
      <c r="M213" s="14" t="s">
        <v>251</v>
      </c>
      <c r="N213" s="14" t="s">
        <v>252</v>
      </c>
      <c r="O213" s="10"/>
      <c r="P213" s="10"/>
      <c r="Q213" s="10"/>
    </row>
    <row r="214" spans="1:17" ht="147" customHeight="1" x14ac:dyDescent="0.3">
      <c r="A214" s="11" t="s">
        <v>1633</v>
      </c>
      <c r="B214" s="7" t="s">
        <v>1634</v>
      </c>
      <c r="C214" s="7" t="s">
        <v>1635</v>
      </c>
      <c r="D214" s="12" t="s">
        <v>147</v>
      </c>
      <c r="E214" s="7" t="s">
        <v>236</v>
      </c>
      <c r="F214" s="7" t="s">
        <v>1636</v>
      </c>
      <c r="G214" s="7" t="s">
        <v>1637</v>
      </c>
      <c r="H214" s="7" t="s">
        <v>258</v>
      </c>
      <c r="I214" s="7" t="s">
        <v>1638</v>
      </c>
      <c r="J214" s="12" t="s">
        <v>199</v>
      </c>
      <c r="K214" s="7" t="s">
        <v>391</v>
      </c>
      <c r="L214" s="12" t="s">
        <v>250</v>
      </c>
      <c r="M214" s="12" t="s">
        <v>251</v>
      </c>
      <c r="N214" s="12" t="s">
        <v>252</v>
      </c>
      <c r="O214" s="7"/>
      <c r="P214" s="7"/>
      <c r="Q214" s="7"/>
    </row>
    <row r="215" spans="1:17" ht="147" customHeight="1" x14ac:dyDescent="0.3">
      <c r="A215" s="13" t="s">
        <v>1639</v>
      </c>
      <c r="B215" s="10" t="s">
        <v>1640</v>
      </c>
      <c r="C215" s="10" t="s">
        <v>1641</v>
      </c>
      <c r="D215" s="14" t="s">
        <v>155</v>
      </c>
      <c r="E215" s="10" t="s">
        <v>236</v>
      </c>
      <c r="F215" s="10" t="s">
        <v>1642</v>
      </c>
      <c r="G215" s="10" t="s">
        <v>1643</v>
      </c>
      <c r="H215" s="10" t="s">
        <v>258</v>
      </c>
      <c r="I215" s="10" t="s">
        <v>1644</v>
      </c>
      <c r="J215" s="14" t="s">
        <v>202</v>
      </c>
      <c r="K215" s="10" t="s">
        <v>391</v>
      </c>
      <c r="L215" s="14" t="s">
        <v>250</v>
      </c>
      <c r="M215" s="14" t="s">
        <v>251</v>
      </c>
      <c r="N215" s="14" t="s">
        <v>252</v>
      </c>
      <c r="O215" s="10"/>
      <c r="P215" s="10"/>
      <c r="Q215" s="10"/>
    </row>
    <row r="216" spans="1:17" ht="147" customHeight="1" x14ac:dyDescent="0.3">
      <c r="A216" s="11" t="s">
        <v>1645</v>
      </c>
      <c r="B216" s="7" t="s">
        <v>1646</v>
      </c>
      <c r="C216" s="7" t="s">
        <v>1647</v>
      </c>
      <c r="D216" s="12" t="s">
        <v>155</v>
      </c>
      <c r="E216" s="7" t="s">
        <v>236</v>
      </c>
      <c r="F216" s="7" t="s">
        <v>1648</v>
      </c>
      <c r="G216" s="7" t="s">
        <v>1649</v>
      </c>
      <c r="H216" s="7" t="s">
        <v>258</v>
      </c>
      <c r="I216" s="7" t="s">
        <v>1650</v>
      </c>
      <c r="J216" s="12" t="s">
        <v>202</v>
      </c>
      <c r="K216" s="7" t="s">
        <v>391</v>
      </c>
      <c r="L216" s="12" t="s">
        <v>250</v>
      </c>
      <c r="M216" s="12" t="s">
        <v>251</v>
      </c>
      <c r="N216" s="12" t="s">
        <v>252</v>
      </c>
      <c r="O216" s="7"/>
      <c r="P216" s="7"/>
      <c r="Q216" s="7"/>
    </row>
    <row r="217" spans="1:17" ht="147" customHeight="1" x14ac:dyDescent="0.3">
      <c r="A217" s="13" t="s">
        <v>1651</v>
      </c>
      <c r="B217" s="10" t="s">
        <v>1652</v>
      </c>
      <c r="C217" s="10" t="s">
        <v>1653</v>
      </c>
      <c r="D217" s="14" t="s">
        <v>155</v>
      </c>
      <c r="E217" s="10" t="s">
        <v>316</v>
      </c>
      <c r="F217" s="10" t="s">
        <v>1654</v>
      </c>
      <c r="G217" s="10" t="s">
        <v>1655</v>
      </c>
      <c r="H217" s="10" t="s">
        <v>258</v>
      </c>
      <c r="I217" s="10" t="s">
        <v>1656</v>
      </c>
      <c r="J217" s="14" t="s">
        <v>202</v>
      </c>
      <c r="K217" s="10" t="s">
        <v>1657</v>
      </c>
      <c r="L217" s="14" t="s">
        <v>250</v>
      </c>
      <c r="M217" s="14" t="s">
        <v>251</v>
      </c>
      <c r="N217" s="14" t="s">
        <v>252</v>
      </c>
      <c r="O217" s="10"/>
      <c r="P217" s="10"/>
      <c r="Q217" s="10"/>
    </row>
    <row r="218" spans="1:17" ht="147" customHeight="1" x14ac:dyDescent="0.3">
      <c r="A218" s="11" t="s">
        <v>1658</v>
      </c>
      <c r="B218" s="7" t="s">
        <v>1659</v>
      </c>
      <c r="C218" s="7" t="s">
        <v>1660</v>
      </c>
      <c r="D218" s="12" t="s">
        <v>155</v>
      </c>
      <c r="E218" s="7" t="s">
        <v>236</v>
      </c>
      <c r="F218" s="7" t="s">
        <v>1661</v>
      </c>
      <c r="G218" s="7" t="s">
        <v>1662</v>
      </c>
      <c r="H218" s="7" t="s">
        <v>258</v>
      </c>
      <c r="I218" s="7" t="s">
        <v>1663</v>
      </c>
      <c r="J218" s="12" t="s">
        <v>202</v>
      </c>
      <c r="K218" s="7" t="s">
        <v>391</v>
      </c>
      <c r="L218" s="12" t="s">
        <v>250</v>
      </c>
      <c r="M218" s="12" t="s">
        <v>251</v>
      </c>
      <c r="N218" s="12" t="s">
        <v>252</v>
      </c>
      <c r="O218" s="7"/>
      <c r="P218" s="7"/>
      <c r="Q218" s="7"/>
    </row>
    <row r="219" spans="1:17" ht="147" customHeight="1" x14ac:dyDescent="0.3">
      <c r="A219" s="13" t="s">
        <v>1664</v>
      </c>
      <c r="B219" s="10" t="s">
        <v>1665</v>
      </c>
      <c r="C219" s="10" t="s">
        <v>1666</v>
      </c>
      <c r="D219" s="14" t="s">
        <v>155</v>
      </c>
      <c r="E219" s="10" t="s">
        <v>236</v>
      </c>
      <c r="F219" s="10" t="s">
        <v>1667</v>
      </c>
      <c r="G219" s="10" t="s">
        <v>1662</v>
      </c>
      <c r="H219" s="10" t="s">
        <v>258</v>
      </c>
      <c r="I219" s="10" t="s">
        <v>1668</v>
      </c>
      <c r="J219" s="14" t="s">
        <v>202</v>
      </c>
      <c r="K219" s="10" t="s">
        <v>391</v>
      </c>
      <c r="L219" s="14" t="s">
        <v>250</v>
      </c>
      <c r="M219" s="14" t="s">
        <v>251</v>
      </c>
      <c r="N219" s="14" t="s">
        <v>252</v>
      </c>
      <c r="O219" s="10"/>
      <c r="P219" s="10"/>
      <c r="Q219" s="10"/>
    </row>
    <row r="220" spans="1:17" ht="228.75" customHeight="1" x14ac:dyDescent="0.3">
      <c r="A220" s="11" t="s">
        <v>1669</v>
      </c>
      <c r="B220" s="7" t="s">
        <v>1670</v>
      </c>
      <c r="C220" s="7" t="s">
        <v>1671</v>
      </c>
      <c r="D220" s="12" t="s">
        <v>147</v>
      </c>
      <c r="E220" s="7" t="s">
        <v>236</v>
      </c>
      <c r="F220" s="7" t="s">
        <v>1311</v>
      </c>
      <c r="G220" s="7" t="s">
        <v>1672</v>
      </c>
      <c r="H220" s="7" t="s">
        <v>1673</v>
      </c>
      <c r="I220" s="7" t="s">
        <v>1674</v>
      </c>
      <c r="J220" s="12" t="s">
        <v>202</v>
      </c>
      <c r="K220" s="7" t="s">
        <v>344</v>
      </c>
      <c r="L220" s="12" t="s">
        <v>250</v>
      </c>
      <c r="M220" s="12" t="s">
        <v>251</v>
      </c>
      <c r="N220" s="12" t="s">
        <v>267</v>
      </c>
      <c r="O220" s="7"/>
      <c r="P220" s="7"/>
      <c r="Q220" s="7"/>
    </row>
    <row r="221" spans="1:17" ht="133.5" customHeight="1" x14ac:dyDescent="0.3">
      <c r="A221" s="13" t="s">
        <v>1675</v>
      </c>
      <c r="B221" s="10" t="s">
        <v>1676</v>
      </c>
      <c r="C221" s="10" t="s">
        <v>1677</v>
      </c>
      <c r="D221" s="14" t="s">
        <v>147</v>
      </c>
      <c r="E221" s="10" t="s">
        <v>236</v>
      </c>
      <c r="F221" s="10" t="s">
        <v>1678</v>
      </c>
      <c r="G221" s="10" t="s">
        <v>1679</v>
      </c>
      <c r="H221" s="10" t="s">
        <v>258</v>
      </c>
      <c r="I221" s="10" t="s">
        <v>1680</v>
      </c>
      <c r="J221" s="14" t="s">
        <v>100</v>
      </c>
      <c r="K221" s="10" t="s">
        <v>1681</v>
      </c>
      <c r="L221" s="14" t="s">
        <v>250</v>
      </c>
      <c r="M221" s="14" t="s">
        <v>251</v>
      </c>
      <c r="N221" s="14" t="s">
        <v>267</v>
      </c>
      <c r="O221" s="10"/>
      <c r="P221" s="10"/>
      <c r="Q221" s="10"/>
    </row>
    <row r="222" spans="1:17" ht="160.5" customHeight="1" x14ac:dyDescent="0.3">
      <c r="A222" s="11" t="s">
        <v>1682</v>
      </c>
      <c r="B222" s="7" t="s">
        <v>1683</v>
      </c>
      <c r="C222" s="7" t="s">
        <v>1684</v>
      </c>
      <c r="D222" s="12" t="s">
        <v>155</v>
      </c>
      <c r="E222" s="7" t="s">
        <v>236</v>
      </c>
      <c r="F222" s="7" t="s">
        <v>1685</v>
      </c>
      <c r="G222" s="7" t="s">
        <v>1686</v>
      </c>
      <c r="H222" s="7" t="s">
        <v>258</v>
      </c>
      <c r="I222" s="7" t="s">
        <v>1687</v>
      </c>
      <c r="J222" s="12" t="s">
        <v>100</v>
      </c>
      <c r="K222" s="7" t="s">
        <v>1681</v>
      </c>
      <c r="L222" s="12" t="s">
        <v>250</v>
      </c>
      <c r="M222" s="12" t="s">
        <v>251</v>
      </c>
      <c r="N222" s="12" t="s">
        <v>252</v>
      </c>
      <c r="O222" s="7"/>
      <c r="P222" s="7"/>
      <c r="Q222" s="7"/>
    </row>
    <row r="223" spans="1:17" ht="147" customHeight="1" x14ac:dyDescent="0.3">
      <c r="A223" s="13" t="s">
        <v>1688</v>
      </c>
      <c r="B223" s="10" t="s">
        <v>1689</v>
      </c>
      <c r="C223" s="10" t="s">
        <v>1690</v>
      </c>
      <c r="D223" s="14" t="s">
        <v>147</v>
      </c>
      <c r="E223" s="10" t="s">
        <v>236</v>
      </c>
      <c r="F223" s="10" t="s">
        <v>1691</v>
      </c>
      <c r="G223" s="10" t="s">
        <v>1692</v>
      </c>
      <c r="H223" s="10" t="s">
        <v>1693</v>
      </c>
      <c r="I223" s="10" t="s">
        <v>1694</v>
      </c>
      <c r="J223" s="14" t="s">
        <v>100</v>
      </c>
      <c r="K223" s="10" t="s">
        <v>1681</v>
      </c>
      <c r="L223" s="14" t="s">
        <v>250</v>
      </c>
      <c r="M223" s="14" t="s">
        <v>251</v>
      </c>
      <c r="N223" s="14" t="s">
        <v>252</v>
      </c>
      <c r="O223" s="10"/>
      <c r="P223" s="10"/>
      <c r="Q223" s="10"/>
    </row>
    <row r="224" spans="1:17" ht="133.5" customHeight="1" x14ac:dyDescent="0.3">
      <c r="A224" s="11" t="s">
        <v>1695</v>
      </c>
      <c r="B224" s="7" t="s">
        <v>1696</v>
      </c>
      <c r="C224" s="7" t="s">
        <v>1697</v>
      </c>
      <c r="D224" s="12" t="s">
        <v>155</v>
      </c>
      <c r="E224" s="7" t="s">
        <v>236</v>
      </c>
      <c r="F224" s="7" t="s">
        <v>1678</v>
      </c>
      <c r="G224" s="7" t="s">
        <v>1698</v>
      </c>
      <c r="H224" s="7" t="s">
        <v>258</v>
      </c>
      <c r="I224" s="7" t="s">
        <v>1699</v>
      </c>
      <c r="J224" s="12" t="s">
        <v>100</v>
      </c>
      <c r="K224" s="7" t="s">
        <v>1681</v>
      </c>
      <c r="L224" s="12" t="s">
        <v>250</v>
      </c>
      <c r="M224" s="12" t="s">
        <v>251</v>
      </c>
      <c r="N224" s="12" t="s">
        <v>252</v>
      </c>
      <c r="O224" s="7"/>
      <c r="P224" s="7"/>
      <c r="Q224" s="7"/>
    </row>
    <row r="225" spans="1:17" ht="133.5" customHeight="1" x14ac:dyDescent="0.3">
      <c r="A225" s="13" t="s">
        <v>1700</v>
      </c>
      <c r="B225" s="10" t="s">
        <v>1701</v>
      </c>
      <c r="C225" s="10" t="s">
        <v>1677</v>
      </c>
      <c r="D225" s="14" t="s">
        <v>256</v>
      </c>
      <c r="E225" s="10" t="s">
        <v>59</v>
      </c>
      <c r="F225" s="10" t="s">
        <v>1678</v>
      </c>
      <c r="G225" s="10" t="s">
        <v>1702</v>
      </c>
      <c r="H225" s="10" t="s">
        <v>258</v>
      </c>
      <c r="I225" s="10" t="s">
        <v>1703</v>
      </c>
      <c r="J225" s="14" t="s">
        <v>100</v>
      </c>
      <c r="K225" s="10" t="s">
        <v>332</v>
      </c>
      <c r="L225" s="14" t="s">
        <v>1243</v>
      </c>
      <c r="M225" s="14" t="s">
        <v>251</v>
      </c>
      <c r="N225" s="14" t="s">
        <v>252</v>
      </c>
      <c r="O225" s="10" t="s">
        <v>1704</v>
      </c>
      <c r="P225" s="10" t="s">
        <v>231</v>
      </c>
      <c r="Q225" s="10" t="s">
        <v>269</v>
      </c>
    </row>
    <row r="226" spans="1:17" ht="160.5" customHeight="1" x14ac:dyDescent="0.3">
      <c r="A226" s="11" t="s">
        <v>1705</v>
      </c>
      <c r="B226" s="7" t="s">
        <v>1706</v>
      </c>
      <c r="C226" s="7" t="s">
        <v>1707</v>
      </c>
      <c r="D226" s="12" t="s">
        <v>155</v>
      </c>
      <c r="E226" s="7" t="s">
        <v>672</v>
      </c>
      <c r="F226" s="7" t="s">
        <v>1708</v>
      </c>
      <c r="G226" s="7" t="s">
        <v>1709</v>
      </c>
      <c r="H226" s="7" t="s">
        <v>1710</v>
      </c>
      <c r="I226" s="7" t="s">
        <v>1711</v>
      </c>
      <c r="J226" s="12" t="s">
        <v>100</v>
      </c>
      <c r="K226" s="7" t="s">
        <v>1681</v>
      </c>
      <c r="L226" s="12" t="s">
        <v>250</v>
      </c>
      <c r="M226" s="12" t="s">
        <v>251</v>
      </c>
      <c r="N226" s="12" t="s">
        <v>252</v>
      </c>
      <c r="O226" s="7"/>
      <c r="P226" s="7"/>
      <c r="Q226" s="7"/>
    </row>
    <row r="227" spans="1:17" ht="133.5" customHeight="1" x14ac:dyDescent="0.3">
      <c r="A227" s="13" t="s">
        <v>1712</v>
      </c>
      <c r="B227" s="10" t="s">
        <v>1713</v>
      </c>
      <c r="C227" s="10" t="s">
        <v>1714</v>
      </c>
      <c r="D227" s="14" t="s">
        <v>155</v>
      </c>
      <c r="E227" s="10" t="s">
        <v>464</v>
      </c>
      <c r="F227" s="10" t="s">
        <v>1715</v>
      </c>
      <c r="G227" s="10" t="s">
        <v>1716</v>
      </c>
      <c r="H227" s="10" t="s">
        <v>1717</v>
      </c>
      <c r="I227" s="10" t="s">
        <v>1718</v>
      </c>
      <c r="J227" s="14" t="s">
        <v>100</v>
      </c>
      <c r="K227" s="10" t="s">
        <v>1681</v>
      </c>
      <c r="L227" s="14" t="s">
        <v>250</v>
      </c>
      <c r="M227" s="14" t="s">
        <v>251</v>
      </c>
      <c r="N227" s="14" t="s">
        <v>252</v>
      </c>
      <c r="O227" s="10"/>
      <c r="P227" s="10"/>
      <c r="Q227" s="10"/>
    </row>
    <row r="228" spans="1:17" ht="133.5" customHeight="1" x14ac:dyDescent="0.3">
      <c r="A228" s="11" t="s">
        <v>1719</v>
      </c>
      <c r="B228" s="7" t="s">
        <v>1720</v>
      </c>
      <c r="C228" s="7" t="s">
        <v>1721</v>
      </c>
      <c r="D228" s="12" t="s">
        <v>155</v>
      </c>
      <c r="E228" s="7" t="s">
        <v>236</v>
      </c>
      <c r="F228" s="7" t="s">
        <v>1715</v>
      </c>
      <c r="G228" s="7" t="s">
        <v>1722</v>
      </c>
      <c r="H228" s="7" t="s">
        <v>1723</v>
      </c>
      <c r="I228" s="7" t="s">
        <v>1724</v>
      </c>
      <c r="J228" s="12" t="s">
        <v>100</v>
      </c>
      <c r="K228" s="7" t="s">
        <v>1681</v>
      </c>
      <c r="L228" s="12" t="s">
        <v>250</v>
      </c>
      <c r="M228" s="12" t="s">
        <v>251</v>
      </c>
      <c r="N228" s="12" t="s">
        <v>252</v>
      </c>
      <c r="O228" s="7"/>
      <c r="P228" s="7"/>
      <c r="Q228" s="7"/>
    </row>
    <row r="229" spans="1:17" ht="133.5" customHeight="1" x14ac:dyDescent="0.3">
      <c r="A229" s="13" t="s">
        <v>1725</v>
      </c>
      <c r="B229" s="10" t="s">
        <v>1726</v>
      </c>
      <c r="C229" s="10" t="s">
        <v>1727</v>
      </c>
      <c r="D229" s="14" t="s">
        <v>155</v>
      </c>
      <c r="E229" s="10" t="s">
        <v>236</v>
      </c>
      <c r="F229" s="10" t="s">
        <v>1715</v>
      </c>
      <c r="G229" s="10" t="s">
        <v>1728</v>
      </c>
      <c r="H229" s="10" t="s">
        <v>1729</v>
      </c>
      <c r="I229" s="10" t="s">
        <v>1730</v>
      </c>
      <c r="J229" s="14" t="s">
        <v>100</v>
      </c>
      <c r="K229" s="10" t="s">
        <v>1681</v>
      </c>
      <c r="L229" s="14" t="s">
        <v>250</v>
      </c>
      <c r="M229" s="14" t="s">
        <v>251</v>
      </c>
      <c r="N229" s="14" t="s">
        <v>252</v>
      </c>
      <c r="O229" s="10"/>
      <c r="P229" s="10"/>
      <c r="Q229" s="10"/>
    </row>
  </sheetData>
  <autoFilter ref="A1:Q229" xr:uid="{00000000-0009-0000-0000-000003000000}"/>
  <conditionalFormatting sqref="D2:D500">
    <cfRule type="expression" dxfId="4" priority="6">
      <formula>LEFT($D2,2)="P1"</formula>
    </cfRule>
  </conditionalFormatting>
  <conditionalFormatting sqref="L2:L500">
    <cfRule type="cellIs" dxfId="3" priority="2" operator="equal">
      <formula>"Pass"</formula>
    </cfRule>
    <cfRule type="cellIs" dxfId="2" priority="3" operator="equal">
      <formula>"Fail"</formula>
    </cfRule>
    <cfRule type="cellIs" dxfId="1" priority="4" operator="equal">
      <formula>"Blocked"</formula>
    </cfRule>
  </conditionalFormatting>
  <conditionalFormatting sqref="M2:M500">
    <cfRule type="cellIs" dxfId="0" priority="5" operator="equal">
      <formula>"Automated"</formula>
    </cfRule>
  </conditionalFormatting>
  <dataValidations count="4">
    <dataValidation type="list" sqref="L2:L500" xr:uid="{00000000-0002-0000-0300-000000000000}">
      <formula1>"Not Run,Pass,Fail,Blocked"</formula1>
      <formula2>0</formula2>
    </dataValidation>
    <dataValidation type="list" sqref="M2:M500" xr:uid="{00000000-0002-0000-0300-000001000000}">
      <formula1>"Automated,Manual"</formula1>
      <formula2>0</formula2>
    </dataValidation>
    <dataValidation type="list" sqref="N2:N500" xr:uid="{00000000-0002-0000-0300-000002000000}">
      <formula1>"Yes,Yes (Manual),No"</formula1>
      <formula2>0</formula2>
    </dataValidation>
    <dataValidation type="list" sqref="D2:D500" xr:uid="{00000000-0002-0000-0300-000003000000}">
      <formula1>"P1 - Critical,P2 - High,P3 - Medium,P4 - Low"</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2"/>
  <sheetViews>
    <sheetView zoomScale="90" zoomScaleNormal="90" workbookViewId="0">
      <selection activeCell="B9" sqref="B9"/>
    </sheetView>
  </sheetViews>
  <sheetFormatPr defaultColWidth="8.6640625" defaultRowHeight="14.4" x14ac:dyDescent="0.3"/>
  <cols>
    <col min="1" max="1" width="35.109375" customWidth="1"/>
    <col min="2" max="2" width="30" customWidth="1"/>
    <col min="3" max="3" width="95" customWidth="1"/>
  </cols>
  <sheetData>
    <row r="1" spans="1:3" ht="87" customHeight="1" x14ac:dyDescent="0.3">
      <c r="A1" s="4" t="s">
        <v>1731</v>
      </c>
    </row>
    <row r="2" spans="1:3" ht="25.5" customHeight="1" x14ac:dyDescent="0.3"/>
    <row r="3" spans="1:3" ht="85.5" customHeight="1" x14ac:dyDescent="0.3">
      <c r="A3" s="8" t="s">
        <v>1732</v>
      </c>
    </row>
    <row r="4" spans="1:3" ht="25.5" customHeight="1" x14ac:dyDescent="0.3">
      <c r="A4" s="9" t="s">
        <v>1733</v>
      </c>
      <c r="B4" s="9" t="s">
        <v>1734</v>
      </c>
      <c r="C4" s="9" t="s">
        <v>1735</v>
      </c>
    </row>
    <row r="5" spans="1:3" ht="25.5" customHeight="1" x14ac:dyDescent="0.3">
      <c r="A5" s="7" t="s">
        <v>1736</v>
      </c>
      <c r="B5" s="7" t="s">
        <v>1737</v>
      </c>
      <c r="C5" s="7" t="s">
        <v>1738</v>
      </c>
    </row>
    <row r="6" spans="1:3" ht="37.5" customHeight="1" x14ac:dyDescent="0.3">
      <c r="A6" s="7" t="s">
        <v>1739</v>
      </c>
      <c r="B6" s="7" t="s">
        <v>1740</v>
      </c>
      <c r="C6" s="7" t="s">
        <v>1741</v>
      </c>
    </row>
    <row r="7" spans="1:3" ht="25.5" customHeight="1" x14ac:dyDescent="0.3">
      <c r="A7" s="7" t="s">
        <v>1742</v>
      </c>
      <c r="B7" s="7" t="s">
        <v>1743</v>
      </c>
      <c r="C7" s="7" t="s">
        <v>1744</v>
      </c>
    </row>
    <row r="8" spans="1:3" ht="25.5" customHeight="1" x14ac:dyDescent="0.3">
      <c r="A8" s="7" t="s">
        <v>1745</v>
      </c>
      <c r="B8" s="7" t="s">
        <v>1746</v>
      </c>
      <c r="C8" s="7" t="s">
        <v>1747</v>
      </c>
    </row>
    <row r="9" spans="1:3" ht="25.5" customHeight="1" x14ac:dyDescent="0.3">
      <c r="A9" s="7" t="s">
        <v>1748</v>
      </c>
      <c r="B9" s="7" t="s">
        <v>1749</v>
      </c>
      <c r="C9" s="7" t="s">
        <v>1750</v>
      </c>
    </row>
    <row r="10" spans="1:3" ht="25.5" customHeight="1" x14ac:dyDescent="0.3">
      <c r="A10" s="7" t="s">
        <v>1751</v>
      </c>
      <c r="B10" s="7" t="s">
        <v>1752</v>
      </c>
      <c r="C10" s="7" t="s">
        <v>1753</v>
      </c>
    </row>
    <row r="11" spans="1:3" ht="25.5" customHeight="1" x14ac:dyDescent="0.3"/>
    <row r="12" spans="1:3" ht="40.5" customHeight="1" x14ac:dyDescent="0.3">
      <c r="A12" s="8" t="s">
        <v>1754</v>
      </c>
    </row>
    <row r="13" spans="1:3" ht="25.5" customHeight="1" x14ac:dyDescent="0.3">
      <c r="A13" s="9" t="s">
        <v>56</v>
      </c>
      <c r="B13" s="9" t="s">
        <v>1755</v>
      </c>
      <c r="C13" s="9" t="s">
        <v>1735</v>
      </c>
    </row>
    <row r="14" spans="1:3" ht="66" customHeight="1" x14ac:dyDescent="0.3">
      <c r="A14" s="7" t="s">
        <v>1756</v>
      </c>
      <c r="B14" s="7" t="s">
        <v>1757</v>
      </c>
      <c r="C14" s="7" t="s">
        <v>1758</v>
      </c>
    </row>
    <row r="15" spans="1:3" ht="78.75" customHeight="1" x14ac:dyDescent="0.3">
      <c r="A15" s="7" t="s">
        <v>1759</v>
      </c>
      <c r="B15" s="7" t="s">
        <v>1760</v>
      </c>
      <c r="C15" s="7" t="s">
        <v>1761</v>
      </c>
    </row>
    <row r="16" spans="1:3" ht="51.75" customHeight="1" x14ac:dyDescent="0.3">
      <c r="A16" s="7" t="s">
        <v>1762</v>
      </c>
      <c r="B16" s="7" t="s">
        <v>1763</v>
      </c>
      <c r="C16" s="7" t="s">
        <v>1764</v>
      </c>
    </row>
    <row r="17" spans="1:3" ht="51.75" customHeight="1" x14ac:dyDescent="0.3">
      <c r="A17" s="7" t="s">
        <v>1765</v>
      </c>
      <c r="B17" s="7" t="s">
        <v>1766</v>
      </c>
      <c r="C17" s="7" t="s">
        <v>1767</v>
      </c>
    </row>
    <row r="18" spans="1:3" ht="51.75" customHeight="1" x14ac:dyDescent="0.3">
      <c r="A18" s="7" t="s">
        <v>1768</v>
      </c>
      <c r="B18" s="7" t="s">
        <v>1769</v>
      </c>
      <c r="C18" s="7" t="s">
        <v>1770</v>
      </c>
    </row>
    <row r="19" spans="1:3" ht="37.5" customHeight="1" x14ac:dyDescent="0.3">
      <c r="A19" s="7" t="s">
        <v>1771</v>
      </c>
      <c r="B19" s="7" t="s">
        <v>1551</v>
      </c>
      <c r="C19" s="7" t="s">
        <v>1772</v>
      </c>
    </row>
    <row r="20" spans="1:3" ht="25.5" customHeight="1" x14ac:dyDescent="0.3"/>
    <row r="21" spans="1:3" ht="70.5" customHeight="1" x14ac:dyDescent="0.3">
      <c r="A21" s="8" t="s">
        <v>1773</v>
      </c>
    </row>
    <row r="22" spans="1:3" ht="25.5" customHeight="1" x14ac:dyDescent="0.3">
      <c r="A22" s="9" t="s">
        <v>1774</v>
      </c>
      <c r="B22" s="9" t="s">
        <v>1775</v>
      </c>
      <c r="C22" s="9" t="s">
        <v>1776</v>
      </c>
    </row>
    <row r="23" spans="1:3" ht="51.75" customHeight="1" x14ac:dyDescent="0.3">
      <c r="A23" s="7" t="s">
        <v>1777</v>
      </c>
      <c r="B23" s="7" t="s">
        <v>1778</v>
      </c>
      <c r="C23" s="7" t="s">
        <v>1779</v>
      </c>
    </row>
    <row r="24" spans="1:3" ht="66" customHeight="1" x14ac:dyDescent="0.3">
      <c r="A24" s="7" t="s">
        <v>1780</v>
      </c>
      <c r="B24" s="7" t="s">
        <v>1781</v>
      </c>
      <c r="C24" s="7" t="s">
        <v>1782</v>
      </c>
    </row>
    <row r="25" spans="1:3" ht="78.75" customHeight="1" x14ac:dyDescent="0.3">
      <c r="A25" s="7" t="s">
        <v>1783</v>
      </c>
      <c r="B25" s="7" t="s">
        <v>1784</v>
      </c>
      <c r="C25" s="7" t="s">
        <v>1785</v>
      </c>
    </row>
    <row r="26" spans="1:3" ht="93" customHeight="1" x14ac:dyDescent="0.3">
      <c r="A26" s="7" t="s">
        <v>1786</v>
      </c>
      <c r="B26" s="7" t="s">
        <v>1787</v>
      </c>
      <c r="C26" s="7" t="s">
        <v>1788</v>
      </c>
    </row>
    <row r="27" spans="1:3" ht="51.75" customHeight="1" x14ac:dyDescent="0.3">
      <c r="A27" s="7" t="s">
        <v>1789</v>
      </c>
      <c r="B27" s="7" t="s">
        <v>1790</v>
      </c>
      <c r="C27" s="7" t="s">
        <v>1791</v>
      </c>
    </row>
    <row r="28" spans="1:3" ht="51.75" customHeight="1" x14ac:dyDescent="0.3">
      <c r="A28" s="7" t="s">
        <v>1792</v>
      </c>
      <c r="B28" s="7" t="s">
        <v>1793</v>
      </c>
      <c r="C28" s="7" t="s">
        <v>1794</v>
      </c>
    </row>
    <row r="29" spans="1:3" ht="51.75" customHeight="1" x14ac:dyDescent="0.3">
      <c r="A29" s="7" t="s">
        <v>1795</v>
      </c>
      <c r="B29" s="7" t="s">
        <v>1796</v>
      </c>
      <c r="C29" s="7" t="s">
        <v>1797</v>
      </c>
    </row>
    <row r="30" spans="1:3" ht="25.5" customHeight="1" x14ac:dyDescent="0.3"/>
    <row r="31" spans="1:3" ht="70.5" customHeight="1" x14ac:dyDescent="0.3">
      <c r="A31" s="8" t="s">
        <v>1798</v>
      </c>
    </row>
    <row r="32" spans="1:3" ht="25.5" customHeight="1" x14ac:dyDescent="0.3">
      <c r="A32" s="9" t="s">
        <v>1799</v>
      </c>
      <c r="B32" s="9" t="s">
        <v>1800</v>
      </c>
      <c r="C32" s="9" t="s">
        <v>1801</v>
      </c>
    </row>
    <row r="33" spans="1:3" ht="37.5" customHeight="1" x14ac:dyDescent="0.3">
      <c r="A33" s="7" t="s">
        <v>1802</v>
      </c>
      <c r="B33" s="7" t="s">
        <v>1803</v>
      </c>
      <c r="C33" s="7" t="s">
        <v>1804</v>
      </c>
    </row>
    <row r="34" spans="1:3" ht="51.75" customHeight="1" x14ac:dyDescent="0.3">
      <c r="A34" s="7" t="s">
        <v>1805</v>
      </c>
      <c r="B34" s="7" t="s">
        <v>1806</v>
      </c>
      <c r="C34" s="7" t="s">
        <v>1807</v>
      </c>
    </row>
    <row r="35" spans="1:3" ht="51.75" customHeight="1" x14ac:dyDescent="0.3">
      <c r="A35" s="7" t="s">
        <v>1808</v>
      </c>
      <c r="B35" s="7" t="s">
        <v>1809</v>
      </c>
      <c r="C35" s="7" t="s">
        <v>1810</v>
      </c>
    </row>
    <row r="36" spans="1:3" ht="37.5" customHeight="1" x14ac:dyDescent="0.3">
      <c r="A36" s="7" t="s">
        <v>1811</v>
      </c>
      <c r="B36" s="7" t="s">
        <v>1812</v>
      </c>
      <c r="C36" s="7" t="s">
        <v>1813</v>
      </c>
    </row>
    <row r="37" spans="1:3" ht="51.75" customHeight="1" x14ac:dyDescent="0.3">
      <c r="A37" s="7" t="s">
        <v>1814</v>
      </c>
      <c r="B37" s="7" t="s">
        <v>1815</v>
      </c>
      <c r="C37" s="7" t="s">
        <v>1816</v>
      </c>
    </row>
    <row r="38" spans="1:3" ht="51.75" customHeight="1" x14ac:dyDescent="0.3">
      <c r="A38" s="7" t="s">
        <v>1817</v>
      </c>
      <c r="B38" s="7" t="s">
        <v>1818</v>
      </c>
      <c r="C38" s="7" t="s">
        <v>1819</v>
      </c>
    </row>
    <row r="39" spans="1:3" ht="37.5" customHeight="1" x14ac:dyDescent="0.3">
      <c r="A39" s="7" t="s">
        <v>1820</v>
      </c>
      <c r="B39" s="7" t="s">
        <v>1821</v>
      </c>
      <c r="C39" s="7" t="s">
        <v>1822</v>
      </c>
    </row>
    <row r="40" spans="1:3" ht="25.5" customHeight="1" x14ac:dyDescent="0.3"/>
    <row r="41" spans="1:3" ht="55.5" customHeight="1" x14ac:dyDescent="0.3">
      <c r="A41" s="8" t="s">
        <v>1823</v>
      </c>
    </row>
    <row r="42" spans="1:3" ht="25.5" customHeight="1" x14ac:dyDescent="0.3">
      <c r="A42" s="9" t="s">
        <v>1799</v>
      </c>
      <c r="B42" s="9" t="s">
        <v>1800</v>
      </c>
      <c r="C42" s="9" t="s">
        <v>1801</v>
      </c>
    </row>
    <row r="43" spans="1:3" ht="51.75" customHeight="1" x14ac:dyDescent="0.3">
      <c r="A43" s="7" t="s">
        <v>1734</v>
      </c>
      <c r="B43" s="7" t="s">
        <v>1824</v>
      </c>
      <c r="C43" s="7" t="s">
        <v>1825</v>
      </c>
    </row>
    <row r="44" spans="1:3" ht="37.5" customHeight="1" x14ac:dyDescent="0.3">
      <c r="A44" s="7" t="s">
        <v>1805</v>
      </c>
      <c r="B44" s="7" t="s">
        <v>1826</v>
      </c>
      <c r="C44" s="7" t="s">
        <v>1827</v>
      </c>
    </row>
    <row r="45" spans="1:3" ht="51.75" customHeight="1" x14ac:dyDescent="0.3">
      <c r="A45" s="7" t="s">
        <v>1811</v>
      </c>
      <c r="B45" s="7" t="s">
        <v>1828</v>
      </c>
      <c r="C45" s="7" t="s">
        <v>1829</v>
      </c>
    </row>
    <row r="46" spans="1:3" ht="37.5" customHeight="1" x14ac:dyDescent="0.3">
      <c r="A46" s="7" t="s">
        <v>1830</v>
      </c>
      <c r="B46" s="7" t="s">
        <v>1831</v>
      </c>
      <c r="C46" s="7" t="s">
        <v>1832</v>
      </c>
    </row>
    <row r="47" spans="1:3" ht="37.5" customHeight="1" x14ac:dyDescent="0.3">
      <c r="A47" s="7" t="s">
        <v>1833</v>
      </c>
      <c r="B47" s="7" t="s">
        <v>1834</v>
      </c>
      <c r="C47" s="7" t="s">
        <v>1835</v>
      </c>
    </row>
    <row r="48" spans="1:3" ht="51.75" customHeight="1" x14ac:dyDescent="0.3">
      <c r="A48" s="7" t="s">
        <v>1836</v>
      </c>
      <c r="B48" s="7" t="s">
        <v>1837</v>
      </c>
      <c r="C48" s="7" t="s">
        <v>1838</v>
      </c>
    </row>
    <row r="49" spans="1:3" ht="120" customHeight="1" x14ac:dyDescent="0.3">
      <c r="A49" s="7" t="s">
        <v>1839</v>
      </c>
      <c r="B49" s="7" t="s">
        <v>1840</v>
      </c>
      <c r="C49" s="7" t="s">
        <v>1841</v>
      </c>
    </row>
    <row r="50" spans="1:3" ht="25.5" customHeight="1" x14ac:dyDescent="0.3"/>
    <row r="51" spans="1:3" ht="100.5" customHeight="1" x14ac:dyDescent="0.3">
      <c r="A51" s="8" t="s">
        <v>1842</v>
      </c>
    </row>
    <row r="52" spans="1:3" ht="25.5" customHeight="1" x14ac:dyDescent="0.3">
      <c r="A52" s="9" t="s">
        <v>1799</v>
      </c>
      <c r="B52" s="9" t="s">
        <v>1800</v>
      </c>
      <c r="C52" s="9" t="s">
        <v>1801</v>
      </c>
    </row>
    <row r="53" spans="1:3" ht="51.75" customHeight="1" x14ac:dyDescent="0.3">
      <c r="A53" s="7" t="s">
        <v>2</v>
      </c>
      <c r="B53" s="7" t="s">
        <v>1843</v>
      </c>
      <c r="C53" s="7" t="s">
        <v>1844</v>
      </c>
    </row>
    <row r="54" spans="1:3" ht="37.5" customHeight="1" x14ac:dyDescent="0.3">
      <c r="A54" s="7" t="s">
        <v>1845</v>
      </c>
      <c r="B54" s="7" t="s">
        <v>1846</v>
      </c>
      <c r="C54" s="7" t="s">
        <v>1847</v>
      </c>
    </row>
    <row r="55" spans="1:3" ht="66" customHeight="1" x14ac:dyDescent="0.3">
      <c r="A55" s="7" t="s">
        <v>1848</v>
      </c>
      <c r="B55" s="7" t="s">
        <v>1849</v>
      </c>
      <c r="C55" s="7" t="s">
        <v>1850</v>
      </c>
    </row>
    <row r="56" spans="1:3" ht="37.5" customHeight="1" x14ac:dyDescent="0.3">
      <c r="A56" s="7" t="s">
        <v>1851</v>
      </c>
      <c r="B56" s="7" t="s">
        <v>1852</v>
      </c>
      <c r="C56" s="7" t="s">
        <v>1853</v>
      </c>
    </row>
    <row r="57" spans="1:3" ht="37.5" customHeight="1" x14ac:dyDescent="0.3">
      <c r="A57" s="7" t="s">
        <v>1854</v>
      </c>
      <c r="B57" s="7" t="s">
        <v>1855</v>
      </c>
      <c r="C57" s="7" t="s">
        <v>1856</v>
      </c>
    </row>
    <row r="58" spans="1:3" ht="37.5" customHeight="1" x14ac:dyDescent="0.3">
      <c r="A58" s="7" t="s">
        <v>1830</v>
      </c>
      <c r="B58" s="7" t="s">
        <v>1857</v>
      </c>
      <c r="C58" s="7" t="s">
        <v>1858</v>
      </c>
    </row>
    <row r="59" spans="1:3" ht="66" customHeight="1" x14ac:dyDescent="0.3">
      <c r="A59" s="7" t="s">
        <v>1859</v>
      </c>
      <c r="B59" s="7" t="s">
        <v>1860</v>
      </c>
      <c r="C59" s="7" t="s">
        <v>1861</v>
      </c>
    </row>
    <row r="60" spans="1:3" ht="37.5" customHeight="1" x14ac:dyDescent="0.3">
      <c r="A60" s="7" t="s">
        <v>1862</v>
      </c>
      <c r="B60" s="7" t="s">
        <v>1863</v>
      </c>
      <c r="C60" s="7" t="s">
        <v>1864</v>
      </c>
    </row>
    <row r="61" spans="1:3" ht="25.5" customHeight="1" x14ac:dyDescent="0.3">
      <c r="A61" s="7" t="s">
        <v>1836</v>
      </c>
      <c r="B61" s="7" t="s">
        <v>1865</v>
      </c>
      <c r="C61" s="7" t="s">
        <v>1866</v>
      </c>
    </row>
    <row r="62" spans="1:3" ht="78.75" customHeight="1" x14ac:dyDescent="0.3">
      <c r="A62" s="7" t="s">
        <v>1839</v>
      </c>
      <c r="B62" s="7" t="s">
        <v>1867</v>
      </c>
      <c r="C62" s="7" t="s">
        <v>1868</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0"/>
  <sheetViews>
    <sheetView zoomScale="90" zoomScaleNormal="90" workbookViewId="0">
      <pane ySplit="1" topLeftCell="A28" activePane="bottomLeft" state="frozen"/>
      <selection pane="bottomLeft"/>
    </sheetView>
  </sheetViews>
  <sheetFormatPr defaultColWidth="8.6640625" defaultRowHeight="14.4" x14ac:dyDescent="0.3"/>
  <cols>
    <col min="1" max="1" width="13" customWidth="1"/>
    <col min="2" max="2" width="38" customWidth="1"/>
    <col min="3" max="3" width="15" customWidth="1"/>
    <col min="4" max="4" width="60" customWidth="1"/>
    <col min="5" max="5" width="9" customWidth="1"/>
    <col min="6" max="6" width="11" customWidth="1"/>
    <col min="7" max="7" width="9" customWidth="1"/>
    <col min="8" max="8" width="11" customWidth="1"/>
    <col min="9" max="9" width="9" customWidth="1"/>
    <col min="10" max="10" width="18" customWidth="1"/>
  </cols>
  <sheetData>
    <row r="1" spans="1:10" ht="37.5" customHeight="1" x14ac:dyDescent="0.3">
      <c r="A1" s="9" t="s">
        <v>136</v>
      </c>
      <c r="B1" s="9" t="s">
        <v>57</v>
      </c>
      <c r="C1" s="9" t="s">
        <v>137</v>
      </c>
      <c r="D1" s="9" t="s">
        <v>1869</v>
      </c>
      <c r="E1" s="9" t="s">
        <v>1870</v>
      </c>
      <c r="F1" s="9" t="s">
        <v>228</v>
      </c>
      <c r="G1" s="9" t="s">
        <v>251</v>
      </c>
      <c r="H1" s="9" t="s">
        <v>46</v>
      </c>
      <c r="I1" s="9" t="s">
        <v>1871</v>
      </c>
      <c r="J1" s="9" t="s">
        <v>1872</v>
      </c>
    </row>
    <row r="2" spans="1:10" ht="93" customHeight="1" x14ac:dyDescent="0.3">
      <c r="A2" s="7" t="s">
        <v>61</v>
      </c>
      <c r="B2" s="7" t="s">
        <v>58</v>
      </c>
      <c r="C2" s="7" t="s">
        <v>140</v>
      </c>
      <c r="D2" s="7" t="s">
        <v>1873</v>
      </c>
      <c r="E2" s="7">
        <f>COUNTIF('Test Cases'!$J$2:$J$500,A2)</f>
        <v>16</v>
      </c>
      <c r="F2" s="7">
        <f>COUNTIFS('Test Cases'!$J$2:$J$500,A2,'Test Cases'!$M$2:$M$500,"Automated")</f>
        <v>2</v>
      </c>
      <c r="G2" s="7">
        <f>COUNTIFS('Test Cases'!$J$2:$J$500,A2,'Test Cases'!$M$2:$M$500,"Manual")</f>
        <v>14</v>
      </c>
      <c r="H2" s="7">
        <f>COUNTIFS('Test Cases'!$J$2:$J$500,A2,'Test Cases'!$N$2:$N$500,"Yes*")</f>
        <v>4</v>
      </c>
      <c r="I2" s="7">
        <f>COUNTIFS('Test Cases'!$J$2:$J$500,A2,'Test Cases'!$L$2:$L$500,"Pass")</f>
        <v>5</v>
      </c>
      <c r="J2" s="7" t="str">
        <f t="shared" ref="J2:J30" si="0">IF(E2=0,"Not Covered",IF(I2=E2,"Covered &amp; Passed","Covered"))</f>
        <v>Covered</v>
      </c>
    </row>
    <row r="3" spans="1:10" ht="25.5" customHeight="1" x14ac:dyDescent="0.3">
      <c r="A3" s="10" t="s">
        <v>64</v>
      </c>
      <c r="B3" s="10" t="s">
        <v>58</v>
      </c>
      <c r="C3" s="10" t="s">
        <v>143</v>
      </c>
      <c r="D3" s="10" t="s">
        <v>1874</v>
      </c>
      <c r="E3" s="10">
        <f>COUNTIF('Test Cases'!$J$2:$J$500,A3)</f>
        <v>2</v>
      </c>
      <c r="F3" s="10">
        <f>COUNTIFS('Test Cases'!$J$2:$J$500,A3,'Test Cases'!$M$2:$M$500,"Automated")</f>
        <v>0</v>
      </c>
      <c r="G3" s="10">
        <f>COUNTIFS('Test Cases'!$J$2:$J$500,A3,'Test Cases'!$M$2:$M$500,"Manual")</f>
        <v>2</v>
      </c>
      <c r="H3" s="10">
        <f>COUNTIFS('Test Cases'!$J$2:$J$500,A3,'Test Cases'!$N$2:$N$500,"Yes*")</f>
        <v>2</v>
      </c>
      <c r="I3" s="10">
        <f>COUNTIFS('Test Cases'!$J$2:$J$500,A3,'Test Cases'!$L$2:$L$500,"Pass")</f>
        <v>1</v>
      </c>
      <c r="J3" s="10" t="str">
        <f t="shared" si="0"/>
        <v>Covered</v>
      </c>
    </row>
    <row r="4" spans="1:10" ht="37.5" customHeight="1" x14ac:dyDescent="0.3">
      <c r="A4" s="7" t="s">
        <v>67</v>
      </c>
      <c r="B4" s="7" t="s">
        <v>145</v>
      </c>
      <c r="C4" s="7" t="s">
        <v>140</v>
      </c>
      <c r="D4" s="7" t="s">
        <v>1875</v>
      </c>
      <c r="E4" s="7">
        <f>COUNTIF('Test Cases'!$J$2:$J$500,A4)</f>
        <v>4</v>
      </c>
      <c r="F4" s="7">
        <f>COUNTIFS('Test Cases'!$J$2:$J$500,A4,'Test Cases'!$M$2:$M$500,"Automated")</f>
        <v>3</v>
      </c>
      <c r="G4" s="7">
        <f>COUNTIFS('Test Cases'!$J$2:$J$500,A4,'Test Cases'!$M$2:$M$500,"Manual")</f>
        <v>1</v>
      </c>
      <c r="H4" s="7">
        <f>COUNTIFS('Test Cases'!$J$2:$J$500,A4,'Test Cases'!$N$2:$N$500,"Yes*")</f>
        <v>4</v>
      </c>
      <c r="I4" s="7">
        <f>COUNTIFS('Test Cases'!$J$2:$J$500,A4,'Test Cases'!$L$2:$L$500,"Pass")</f>
        <v>3</v>
      </c>
      <c r="J4" s="7" t="str">
        <f t="shared" si="0"/>
        <v>Covered</v>
      </c>
    </row>
    <row r="5" spans="1:10" ht="25.5" customHeight="1" x14ac:dyDescent="0.3">
      <c r="A5" s="10" t="s">
        <v>70</v>
      </c>
      <c r="B5" s="10" t="s">
        <v>145</v>
      </c>
      <c r="C5" s="10" t="s">
        <v>143</v>
      </c>
      <c r="D5" s="10" t="s">
        <v>1876</v>
      </c>
      <c r="E5" s="10">
        <f>COUNTIF('Test Cases'!$J$2:$J$500,A5)</f>
        <v>2</v>
      </c>
      <c r="F5" s="10">
        <f>COUNTIFS('Test Cases'!$J$2:$J$500,A5,'Test Cases'!$M$2:$M$500,"Automated")</f>
        <v>0</v>
      </c>
      <c r="G5" s="10">
        <f>COUNTIFS('Test Cases'!$J$2:$J$500,A5,'Test Cases'!$M$2:$M$500,"Manual")</f>
        <v>2</v>
      </c>
      <c r="H5" s="10">
        <f>COUNTIFS('Test Cases'!$J$2:$J$500,A5,'Test Cases'!$N$2:$N$500,"Yes*")</f>
        <v>1</v>
      </c>
      <c r="I5" s="10">
        <f>COUNTIFS('Test Cases'!$J$2:$J$500,A5,'Test Cases'!$L$2:$L$500,"Pass")</f>
        <v>0</v>
      </c>
      <c r="J5" s="10" t="str">
        <f t="shared" si="0"/>
        <v>Covered</v>
      </c>
    </row>
    <row r="6" spans="1:10" ht="37.5" customHeight="1" x14ac:dyDescent="0.3">
      <c r="A6" s="7" t="s">
        <v>73</v>
      </c>
      <c r="B6" s="7" t="s">
        <v>65</v>
      </c>
      <c r="C6" s="7" t="s">
        <v>140</v>
      </c>
      <c r="D6" s="7" t="s">
        <v>1877</v>
      </c>
      <c r="E6" s="7">
        <f>COUNTIF('Test Cases'!$J$2:$J$500,A6)</f>
        <v>4</v>
      </c>
      <c r="F6" s="7">
        <f>COUNTIFS('Test Cases'!$J$2:$J$500,A6,'Test Cases'!$M$2:$M$500,"Automated")</f>
        <v>3</v>
      </c>
      <c r="G6" s="7">
        <f>COUNTIFS('Test Cases'!$J$2:$J$500,A6,'Test Cases'!$M$2:$M$500,"Manual")</f>
        <v>1</v>
      </c>
      <c r="H6" s="7">
        <f>COUNTIFS('Test Cases'!$J$2:$J$500,A6,'Test Cases'!$N$2:$N$500,"Yes*")</f>
        <v>3</v>
      </c>
      <c r="I6" s="7">
        <f>COUNTIFS('Test Cases'!$J$2:$J$500,A6,'Test Cases'!$L$2:$L$500,"Pass")</f>
        <v>3</v>
      </c>
      <c r="J6" s="7" t="str">
        <f t="shared" si="0"/>
        <v>Covered</v>
      </c>
    </row>
    <row r="7" spans="1:10" ht="25.5" customHeight="1" x14ac:dyDescent="0.3">
      <c r="A7" s="10" t="s">
        <v>76</v>
      </c>
      <c r="B7" s="10" t="s">
        <v>65</v>
      </c>
      <c r="C7" s="10" t="s">
        <v>143</v>
      </c>
      <c r="D7" s="10" t="s">
        <v>1878</v>
      </c>
      <c r="E7" s="10">
        <f>COUNTIF('Test Cases'!$J$2:$J$500,A7)</f>
        <v>3</v>
      </c>
      <c r="F7" s="10">
        <f>COUNTIFS('Test Cases'!$J$2:$J$500,A7,'Test Cases'!$M$2:$M$500,"Automated")</f>
        <v>0</v>
      </c>
      <c r="G7" s="10">
        <f>COUNTIFS('Test Cases'!$J$2:$J$500,A7,'Test Cases'!$M$2:$M$500,"Manual")</f>
        <v>3</v>
      </c>
      <c r="H7" s="10">
        <f>COUNTIFS('Test Cases'!$J$2:$J$500,A7,'Test Cases'!$N$2:$N$500,"Yes*")</f>
        <v>0</v>
      </c>
      <c r="I7" s="10">
        <f>COUNTIFS('Test Cases'!$J$2:$J$500,A7,'Test Cases'!$L$2:$L$500,"Pass")</f>
        <v>0</v>
      </c>
      <c r="J7" s="10" t="str">
        <f t="shared" si="0"/>
        <v>Covered</v>
      </c>
    </row>
    <row r="8" spans="1:10" ht="78.75" customHeight="1" x14ac:dyDescent="0.3">
      <c r="A8" s="7" t="s">
        <v>79</v>
      </c>
      <c r="B8" s="7" t="s">
        <v>151</v>
      </c>
      <c r="C8" s="7" t="s">
        <v>140</v>
      </c>
      <c r="D8" s="7" t="s">
        <v>1879</v>
      </c>
      <c r="E8" s="7">
        <f>COUNTIF('Test Cases'!$J$2:$J$500,A8)</f>
        <v>12</v>
      </c>
      <c r="F8" s="7">
        <f>COUNTIFS('Test Cases'!$J$2:$J$500,A8,'Test Cases'!$M$2:$M$500,"Automated")</f>
        <v>6</v>
      </c>
      <c r="G8" s="7">
        <f>COUNTIFS('Test Cases'!$J$2:$J$500,A8,'Test Cases'!$M$2:$M$500,"Manual")</f>
        <v>6</v>
      </c>
      <c r="H8" s="7">
        <f>COUNTIFS('Test Cases'!$J$2:$J$500,A8,'Test Cases'!$N$2:$N$500,"Yes*")</f>
        <v>7</v>
      </c>
      <c r="I8" s="7">
        <f>COUNTIFS('Test Cases'!$J$2:$J$500,A8,'Test Cases'!$L$2:$L$500,"Pass")</f>
        <v>7</v>
      </c>
      <c r="J8" s="7" t="str">
        <f t="shared" si="0"/>
        <v>Covered</v>
      </c>
    </row>
    <row r="9" spans="1:10" ht="25.5" customHeight="1" x14ac:dyDescent="0.3">
      <c r="A9" s="10" t="s">
        <v>153</v>
      </c>
      <c r="B9" s="10" t="s">
        <v>151</v>
      </c>
      <c r="C9" s="10" t="s">
        <v>143</v>
      </c>
      <c r="D9" s="10" t="s">
        <v>524</v>
      </c>
      <c r="E9" s="10">
        <f>COUNTIF('Test Cases'!$J$2:$J$500,A9)</f>
        <v>1</v>
      </c>
      <c r="F9" s="10">
        <f>COUNTIFS('Test Cases'!$J$2:$J$500,A9,'Test Cases'!$M$2:$M$500,"Automated")</f>
        <v>0</v>
      </c>
      <c r="G9" s="10">
        <f>COUNTIFS('Test Cases'!$J$2:$J$500,A9,'Test Cases'!$M$2:$M$500,"Manual")</f>
        <v>1</v>
      </c>
      <c r="H9" s="10">
        <f>COUNTIFS('Test Cases'!$J$2:$J$500,A9,'Test Cases'!$N$2:$N$500,"Yes*")</f>
        <v>0</v>
      </c>
      <c r="I9" s="10">
        <f>COUNTIFS('Test Cases'!$J$2:$J$500,A9,'Test Cases'!$L$2:$L$500,"Pass")</f>
        <v>0</v>
      </c>
      <c r="J9" s="10" t="str">
        <f t="shared" si="0"/>
        <v>Covered</v>
      </c>
    </row>
    <row r="10" spans="1:10" ht="51.75" customHeight="1" x14ac:dyDescent="0.3">
      <c r="A10" s="7" t="s">
        <v>85</v>
      </c>
      <c r="B10" s="7" t="s">
        <v>156</v>
      </c>
      <c r="C10" s="7" t="s">
        <v>140</v>
      </c>
      <c r="D10" s="7" t="s">
        <v>1880</v>
      </c>
      <c r="E10" s="7">
        <f>COUNTIF('Test Cases'!$J$2:$J$500,A10)</f>
        <v>7</v>
      </c>
      <c r="F10" s="7">
        <f>COUNTIFS('Test Cases'!$J$2:$J$500,A10,'Test Cases'!$M$2:$M$500,"Automated")</f>
        <v>3</v>
      </c>
      <c r="G10" s="7">
        <f>COUNTIFS('Test Cases'!$J$2:$J$500,A10,'Test Cases'!$M$2:$M$500,"Manual")</f>
        <v>4</v>
      </c>
      <c r="H10" s="7">
        <f>COUNTIFS('Test Cases'!$J$2:$J$500,A10,'Test Cases'!$N$2:$N$500,"Yes*")</f>
        <v>5</v>
      </c>
      <c r="I10" s="7">
        <f>COUNTIFS('Test Cases'!$J$2:$J$500,A10,'Test Cases'!$L$2:$L$500,"Pass")</f>
        <v>4</v>
      </c>
      <c r="J10" s="7" t="str">
        <f t="shared" si="0"/>
        <v>Covered</v>
      </c>
    </row>
    <row r="11" spans="1:10" ht="147" customHeight="1" x14ac:dyDescent="0.3">
      <c r="A11" s="10" t="s">
        <v>158</v>
      </c>
      <c r="B11" s="10" t="s">
        <v>159</v>
      </c>
      <c r="C11" s="10" t="s">
        <v>140</v>
      </c>
      <c r="D11" s="10" t="s">
        <v>1881</v>
      </c>
      <c r="E11" s="10">
        <f>COUNTIF('Test Cases'!$J$2:$J$500,A11)</f>
        <v>29</v>
      </c>
      <c r="F11" s="10">
        <f>COUNTIFS('Test Cases'!$J$2:$J$500,A11,'Test Cases'!$M$2:$M$500,"Automated")</f>
        <v>11</v>
      </c>
      <c r="G11" s="10">
        <f>COUNTIFS('Test Cases'!$J$2:$J$500,A11,'Test Cases'!$M$2:$M$500,"Manual")</f>
        <v>18</v>
      </c>
      <c r="H11" s="10">
        <f>COUNTIFS('Test Cases'!$J$2:$J$500,A11,'Test Cases'!$N$2:$N$500,"Yes*")</f>
        <v>18</v>
      </c>
      <c r="I11" s="10">
        <f>COUNTIFS('Test Cases'!$J$2:$J$500,A11,'Test Cases'!$L$2:$L$500,"Pass")</f>
        <v>13</v>
      </c>
      <c r="J11" s="10" t="str">
        <f t="shared" si="0"/>
        <v>Covered</v>
      </c>
    </row>
    <row r="12" spans="1:10" ht="78.75" customHeight="1" x14ac:dyDescent="0.3">
      <c r="A12" s="7" t="s">
        <v>161</v>
      </c>
      <c r="B12" s="7" t="s">
        <v>77</v>
      </c>
      <c r="C12" s="7" t="s">
        <v>140</v>
      </c>
      <c r="D12" s="7" t="s">
        <v>1882</v>
      </c>
      <c r="E12" s="7">
        <f>COUNTIF('Test Cases'!$J$2:$J$500,A12)</f>
        <v>14</v>
      </c>
      <c r="F12" s="7">
        <f>COUNTIFS('Test Cases'!$J$2:$J$500,A12,'Test Cases'!$M$2:$M$500,"Automated")</f>
        <v>4</v>
      </c>
      <c r="G12" s="7">
        <f>COUNTIFS('Test Cases'!$J$2:$J$500,A12,'Test Cases'!$M$2:$M$500,"Manual")</f>
        <v>10</v>
      </c>
      <c r="H12" s="7">
        <f>COUNTIFS('Test Cases'!$J$2:$J$500,A12,'Test Cases'!$N$2:$N$500,"Yes*")</f>
        <v>6</v>
      </c>
      <c r="I12" s="7">
        <f>COUNTIFS('Test Cases'!$J$2:$J$500,A12,'Test Cases'!$L$2:$L$500,"Pass")</f>
        <v>5</v>
      </c>
      <c r="J12" s="7" t="str">
        <f t="shared" si="0"/>
        <v>Covered</v>
      </c>
    </row>
    <row r="13" spans="1:10" ht="25.5" customHeight="1" x14ac:dyDescent="0.3">
      <c r="A13" s="10" t="s">
        <v>163</v>
      </c>
      <c r="B13" s="10" t="s">
        <v>77</v>
      </c>
      <c r="C13" s="10" t="s">
        <v>143</v>
      </c>
      <c r="D13" s="10" t="s">
        <v>1883</v>
      </c>
      <c r="E13" s="10">
        <f>COUNTIF('Test Cases'!$J$2:$J$500,A13)</f>
        <v>2</v>
      </c>
      <c r="F13" s="10">
        <f>COUNTIFS('Test Cases'!$J$2:$J$500,A13,'Test Cases'!$M$2:$M$500,"Automated")</f>
        <v>0</v>
      </c>
      <c r="G13" s="10">
        <f>COUNTIFS('Test Cases'!$J$2:$J$500,A13,'Test Cases'!$M$2:$M$500,"Manual")</f>
        <v>2</v>
      </c>
      <c r="H13" s="10">
        <f>COUNTIFS('Test Cases'!$J$2:$J$500,A13,'Test Cases'!$N$2:$N$500,"Yes*")</f>
        <v>1</v>
      </c>
      <c r="I13" s="10">
        <f>COUNTIFS('Test Cases'!$J$2:$J$500,A13,'Test Cases'!$L$2:$L$500,"Pass")</f>
        <v>1</v>
      </c>
      <c r="J13" s="10" t="str">
        <f t="shared" si="0"/>
        <v>Covered</v>
      </c>
    </row>
    <row r="14" spans="1:10" ht="78.75" customHeight="1" x14ac:dyDescent="0.3">
      <c r="A14" s="7" t="s">
        <v>91</v>
      </c>
      <c r="B14" s="7" t="s">
        <v>165</v>
      </c>
      <c r="C14" s="7" t="s">
        <v>140</v>
      </c>
      <c r="D14" s="7" t="s">
        <v>1884</v>
      </c>
      <c r="E14" s="7">
        <f>COUNTIF('Test Cases'!$J$2:$J$500,A14)</f>
        <v>15</v>
      </c>
      <c r="F14" s="7">
        <f>COUNTIFS('Test Cases'!$J$2:$J$500,A14,'Test Cases'!$M$2:$M$500,"Automated")</f>
        <v>1</v>
      </c>
      <c r="G14" s="7">
        <f>COUNTIFS('Test Cases'!$J$2:$J$500,A14,'Test Cases'!$M$2:$M$500,"Manual")</f>
        <v>14</v>
      </c>
      <c r="H14" s="7">
        <f>COUNTIFS('Test Cases'!$J$2:$J$500,A14,'Test Cases'!$N$2:$N$500,"Yes*")</f>
        <v>11</v>
      </c>
      <c r="I14" s="7">
        <f>COUNTIFS('Test Cases'!$J$2:$J$500,A14,'Test Cases'!$L$2:$L$500,"Pass")</f>
        <v>10</v>
      </c>
      <c r="J14" s="7" t="str">
        <f t="shared" si="0"/>
        <v>Covered</v>
      </c>
    </row>
    <row r="15" spans="1:10" ht="37.5" customHeight="1" x14ac:dyDescent="0.3">
      <c r="A15" s="10" t="s">
        <v>167</v>
      </c>
      <c r="B15" s="10" t="s">
        <v>165</v>
      </c>
      <c r="C15" s="10" t="s">
        <v>143</v>
      </c>
      <c r="D15" s="10" t="s">
        <v>1885</v>
      </c>
      <c r="E15" s="10">
        <f>COUNTIF('Test Cases'!$J$2:$J$500,A15)</f>
        <v>4</v>
      </c>
      <c r="F15" s="10">
        <f>COUNTIFS('Test Cases'!$J$2:$J$500,A15,'Test Cases'!$M$2:$M$500,"Automated")</f>
        <v>0</v>
      </c>
      <c r="G15" s="10">
        <f>COUNTIFS('Test Cases'!$J$2:$J$500,A15,'Test Cases'!$M$2:$M$500,"Manual")</f>
        <v>4</v>
      </c>
      <c r="H15" s="10">
        <f>COUNTIFS('Test Cases'!$J$2:$J$500,A15,'Test Cases'!$N$2:$N$500,"Yes*")</f>
        <v>2</v>
      </c>
      <c r="I15" s="10">
        <f>COUNTIFS('Test Cases'!$J$2:$J$500,A15,'Test Cases'!$L$2:$L$500,"Pass")</f>
        <v>0</v>
      </c>
      <c r="J15" s="10" t="str">
        <f t="shared" si="0"/>
        <v>Covered</v>
      </c>
    </row>
    <row r="16" spans="1:10" ht="25.5" customHeight="1" x14ac:dyDescent="0.3">
      <c r="A16" s="7" t="s">
        <v>107</v>
      </c>
      <c r="B16" s="7" t="s">
        <v>83</v>
      </c>
      <c r="C16" s="7" t="s">
        <v>140</v>
      </c>
      <c r="D16" s="7" t="s">
        <v>1886</v>
      </c>
      <c r="E16" s="7">
        <f>COUNTIF('Test Cases'!$J$2:$J$500,A16)</f>
        <v>3</v>
      </c>
      <c r="F16" s="7">
        <f>COUNTIFS('Test Cases'!$J$2:$J$500,A16,'Test Cases'!$M$2:$M$500,"Automated")</f>
        <v>3</v>
      </c>
      <c r="G16" s="7">
        <f>COUNTIFS('Test Cases'!$J$2:$J$500,A16,'Test Cases'!$M$2:$M$500,"Manual")</f>
        <v>0</v>
      </c>
      <c r="H16" s="7">
        <f>COUNTIFS('Test Cases'!$J$2:$J$500,A16,'Test Cases'!$N$2:$N$500,"Yes*")</f>
        <v>3</v>
      </c>
      <c r="I16" s="7">
        <f>COUNTIFS('Test Cases'!$J$2:$J$500,A16,'Test Cases'!$L$2:$L$500,"Pass")</f>
        <v>3</v>
      </c>
      <c r="J16" s="7" t="str">
        <f t="shared" si="0"/>
        <v>Covered &amp; Passed</v>
      </c>
    </row>
    <row r="17" spans="1:10" ht="37.5" customHeight="1" x14ac:dyDescent="0.3">
      <c r="A17" s="10" t="s">
        <v>170</v>
      </c>
      <c r="B17" s="10" t="s">
        <v>83</v>
      </c>
      <c r="C17" s="10" t="s">
        <v>143</v>
      </c>
      <c r="D17" s="10" t="s">
        <v>1887</v>
      </c>
      <c r="E17" s="10">
        <f>COUNTIF('Test Cases'!$J$2:$J$500,A17)</f>
        <v>6</v>
      </c>
      <c r="F17" s="10">
        <f>COUNTIFS('Test Cases'!$J$2:$J$500,A17,'Test Cases'!$M$2:$M$500,"Automated")</f>
        <v>0</v>
      </c>
      <c r="G17" s="10">
        <f>COUNTIFS('Test Cases'!$J$2:$J$500,A17,'Test Cases'!$M$2:$M$500,"Manual")</f>
        <v>6</v>
      </c>
      <c r="H17" s="10">
        <f>COUNTIFS('Test Cases'!$J$2:$J$500,A17,'Test Cases'!$N$2:$N$500,"Yes*")</f>
        <v>3</v>
      </c>
      <c r="I17" s="10">
        <f>COUNTIFS('Test Cases'!$J$2:$J$500,A17,'Test Cases'!$L$2:$L$500,"Pass")</f>
        <v>1</v>
      </c>
      <c r="J17" s="10" t="str">
        <f t="shared" si="0"/>
        <v>Covered</v>
      </c>
    </row>
    <row r="18" spans="1:10" ht="66" customHeight="1" x14ac:dyDescent="0.3">
      <c r="A18" s="7" t="s">
        <v>172</v>
      </c>
      <c r="B18" s="7" t="s">
        <v>173</v>
      </c>
      <c r="C18" s="7" t="s">
        <v>140</v>
      </c>
      <c r="D18" s="7" t="s">
        <v>1888</v>
      </c>
      <c r="E18" s="7">
        <f>COUNTIF('Test Cases'!$J$2:$J$500,A18)</f>
        <v>10</v>
      </c>
      <c r="F18" s="7">
        <f>COUNTIFS('Test Cases'!$J$2:$J$500,A18,'Test Cases'!$M$2:$M$500,"Automated")</f>
        <v>4</v>
      </c>
      <c r="G18" s="7">
        <f>COUNTIFS('Test Cases'!$J$2:$J$500,A18,'Test Cases'!$M$2:$M$500,"Manual")</f>
        <v>6</v>
      </c>
      <c r="H18" s="7">
        <f>COUNTIFS('Test Cases'!$J$2:$J$500,A18,'Test Cases'!$N$2:$N$500,"Yes*")</f>
        <v>7</v>
      </c>
      <c r="I18" s="7">
        <f>COUNTIFS('Test Cases'!$J$2:$J$500,A18,'Test Cases'!$L$2:$L$500,"Pass")</f>
        <v>6</v>
      </c>
      <c r="J18" s="7" t="str">
        <f t="shared" si="0"/>
        <v>Covered</v>
      </c>
    </row>
    <row r="19" spans="1:10" ht="105.75" customHeight="1" x14ac:dyDescent="0.3">
      <c r="A19" s="10" t="s">
        <v>175</v>
      </c>
      <c r="B19" s="10" t="s">
        <v>176</v>
      </c>
      <c r="C19" s="10" t="s">
        <v>177</v>
      </c>
      <c r="D19" s="10" t="s">
        <v>1889</v>
      </c>
      <c r="E19" s="10">
        <f>COUNTIF('Test Cases'!$J$2:$J$500,A19)</f>
        <v>21</v>
      </c>
      <c r="F19" s="10">
        <f>COUNTIFS('Test Cases'!$J$2:$J$500,A19,'Test Cases'!$M$2:$M$500,"Automated")</f>
        <v>0</v>
      </c>
      <c r="G19" s="10">
        <f>COUNTIFS('Test Cases'!$J$2:$J$500,A19,'Test Cases'!$M$2:$M$500,"Manual")</f>
        <v>21</v>
      </c>
      <c r="H19" s="10">
        <f>COUNTIFS('Test Cases'!$J$2:$J$500,A19,'Test Cases'!$N$2:$N$500,"Yes*")</f>
        <v>10</v>
      </c>
      <c r="I19" s="10">
        <f>COUNTIFS('Test Cases'!$J$2:$J$500,A19,'Test Cases'!$L$2:$L$500,"Pass")</f>
        <v>9</v>
      </c>
      <c r="J19" s="10" t="str">
        <f t="shared" si="0"/>
        <v>Covered</v>
      </c>
    </row>
    <row r="20" spans="1:10" ht="37.5" customHeight="1" x14ac:dyDescent="0.3">
      <c r="A20" s="7" t="s">
        <v>179</v>
      </c>
      <c r="B20" s="7" t="s">
        <v>180</v>
      </c>
      <c r="C20" s="7" t="s">
        <v>177</v>
      </c>
      <c r="D20" s="7" t="s">
        <v>1890</v>
      </c>
      <c r="E20" s="7">
        <f>COUNTIF('Test Cases'!$J$2:$J$500,A20)</f>
        <v>5</v>
      </c>
      <c r="F20" s="7">
        <f>COUNTIFS('Test Cases'!$J$2:$J$500,A20,'Test Cases'!$M$2:$M$500,"Automated")</f>
        <v>0</v>
      </c>
      <c r="G20" s="7">
        <f>COUNTIFS('Test Cases'!$J$2:$J$500,A20,'Test Cases'!$M$2:$M$500,"Manual")</f>
        <v>5</v>
      </c>
      <c r="H20" s="7">
        <f>COUNTIFS('Test Cases'!$J$2:$J$500,A20,'Test Cases'!$N$2:$N$500,"Yes*")</f>
        <v>0</v>
      </c>
      <c r="I20" s="7">
        <f>COUNTIFS('Test Cases'!$J$2:$J$500,A20,'Test Cases'!$L$2:$L$500,"Pass")</f>
        <v>0</v>
      </c>
      <c r="J20" s="7" t="str">
        <f t="shared" si="0"/>
        <v>Covered</v>
      </c>
    </row>
    <row r="21" spans="1:10" ht="93" customHeight="1" x14ac:dyDescent="0.3">
      <c r="A21" s="10" t="s">
        <v>182</v>
      </c>
      <c r="B21" s="10" t="s">
        <v>183</v>
      </c>
      <c r="C21" s="10" t="s">
        <v>143</v>
      </c>
      <c r="D21" s="10" t="s">
        <v>1891</v>
      </c>
      <c r="E21" s="10">
        <f>COUNTIF('Test Cases'!$J$2:$J$500,A21)</f>
        <v>17</v>
      </c>
      <c r="F21" s="10">
        <f>COUNTIFS('Test Cases'!$J$2:$J$500,A21,'Test Cases'!$M$2:$M$500,"Automated")</f>
        <v>0</v>
      </c>
      <c r="G21" s="10">
        <f>COUNTIFS('Test Cases'!$J$2:$J$500,A21,'Test Cases'!$M$2:$M$500,"Manual")</f>
        <v>17</v>
      </c>
      <c r="H21" s="10">
        <f>COUNTIFS('Test Cases'!$J$2:$J$500,A21,'Test Cases'!$N$2:$N$500,"Yes*")</f>
        <v>1</v>
      </c>
      <c r="I21" s="10">
        <f>COUNTIFS('Test Cases'!$J$2:$J$500,A21,'Test Cases'!$L$2:$L$500,"Pass")</f>
        <v>1</v>
      </c>
      <c r="J21" s="10" t="str">
        <f t="shared" si="0"/>
        <v>Covered</v>
      </c>
    </row>
    <row r="22" spans="1:10" ht="37.5" customHeight="1" x14ac:dyDescent="0.3">
      <c r="A22" s="7" t="s">
        <v>185</v>
      </c>
      <c r="B22" s="7" t="s">
        <v>186</v>
      </c>
      <c r="C22" s="7" t="s">
        <v>143</v>
      </c>
      <c r="D22" s="7" t="s">
        <v>1892</v>
      </c>
      <c r="E22" s="7">
        <f>COUNTIF('Test Cases'!$J$2:$J$500,A22)</f>
        <v>4</v>
      </c>
      <c r="F22" s="7">
        <f>COUNTIFS('Test Cases'!$J$2:$J$500,A22,'Test Cases'!$M$2:$M$500,"Automated")</f>
        <v>0</v>
      </c>
      <c r="G22" s="7">
        <f>COUNTIFS('Test Cases'!$J$2:$J$500,A22,'Test Cases'!$M$2:$M$500,"Manual")</f>
        <v>4</v>
      </c>
      <c r="H22" s="7">
        <f>COUNTIFS('Test Cases'!$J$2:$J$500,A22,'Test Cases'!$N$2:$N$500,"Yes*")</f>
        <v>1</v>
      </c>
      <c r="I22" s="7">
        <f>COUNTIFS('Test Cases'!$J$2:$J$500,A22,'Test Cases'!$L$2:$L$500,"Pass")</f>
        <v>0</v>
      </c>
      <c r="J22" s="7" t="str">
        <f t="shared" si="0"/>
        <v>Covered</v>
      </c>
    </row>
    <row r="23" spans="1:10" ht="25.5" customHeight="1" x14ac:dyDescent="0.3">
      <c r="A23" s="10" t="s">
        <v>188</v>
      </c>
      <c r="B23" s="10" t="s">
        <v>189</v>
      </c>
      <c r="C23" s="10" t="s">
        <v>140</v>
      </c>
      <c r="D23" s="10" t="s">
        <v>1893</v>
      </c>
      <c r="E23" s="10">
        <f>COUNTIF('Test Cases'!$J$2:$J$500,A23)</f>
        <v>2</v>
      </c>
      <c r="F23" s="10">
        <f>COUNTIFS('Test Cases'!$J$2:$J$500,A23,'Test Cases'!$M$2:$M$500,"Automated")</f>
        <v>0</v>
      </c>
      <c r="G23" s="10">
        <f>COUNTIFS('Test Cases'!$J$2:$J$500,A23,'Test Cases'!$M$2:$M$500,"Manual")</f>
        <v>2</v>
      </c>
      <c r="H23" s="10">
        <f>COUNTIFS('Test Cases'!$J$2:$J$500,A23,'Test Cases'!$N$2:$N$500,"Yes*")</f>
        <v>1</v>
      </c>
      <c r="I23" s="10">
        <f>COUNTIFS('Test Cases'!$J$2:$J$500,A23,'Test Cases'!$L$2:$L$500,"Pass")</f>
        <v>1</v>
      </c>
      <c r="J23" s="10" t="str">
        <f t="shared" si="0"/>
        <v>Covered</v>
      </c>
    </row>
    <row r="24" spans="1:10" ht="51.75" customHeight="1" x14ac:dyDescent="0.3">
      <c r="A24" s="7" t="s">
        <v>191</v>
      </c>
      <c r="B24" s="7" t="s">
        <v>189</v>
      </c>
      <c r="C24" s="7" t="s">
        <v>143</v>
      </c>
      <c r="D24" s="7" t="s">
        <v>1894</v>
      </c>
      <c r="E24" s="7">
        <f>COUNTIF('Test Cases'!$J$2:$J$500,A24)</f>
        <v>7</v>
      </c>
      <c r="F24" s="7">
        <f>COUNTIFS('Test Cases'!$J$2:$J$500,A24,'Test Cases'!$M$2:$M$500,"Automated")</f>
        <v>0</v>
      </c>
      <c r="G24" s="7">
        <f>COUNTIFS('Test Cases'!$J$2:$J$500,A24,'Test Cases'!$M$2:$M$500,"Manual")</f>
        <v>7</v>
      </c>
      <c r="H24" s="7">
        <f>COUNTIFS('Test Cases'!$J$2:$J$500,A24,'Test Cases'!$N$2:$N$500,"Yes*")</f>
        <v>1</v>
      </c>
      <c r="I24" s="7">
        <f>COUNTIFS('Test Cases'!$J$2:$J$500,A24,'Test Cases'!$L$2:$L$500,"Pass")</f>
        <v>1</v>
      </c>
      <c r="J24" s="7" t="str">
        <f t="shared" si="0"/>
        <v>Covered</v>
      </c>
    </row>
    <row r="25" spans="1:10" ht="25.5" customHeight="1" x14ac:dyDescent="0.3">
      <c r="A25" s="10" t="s">
        <v>94</v>
      </c>
      <c r="B25" s="10" t="s">
        <v>193</v>
      </c>
      <c r="C25" s="10" t="s">
        <v>140</v>
      </c>
      <c r="D25" s="10" t="s">
        <v>1895</v>
      </c>
      <c r="E25" s="10">
        <f>COUNTIF('Test Cases'!$J$2:$J$500,A25)</f>
        <v>3</v>
      </c>
      <c r="F25" s="10">
        <f>COUNTIFS('Test Cases'!$J$2:$J$500,A25,'Test Cases'!$M$2:$M$500,"Automated")</f>
        <v>0</v>
      </c>
      <c r="G25" s="10">
        <f>COUNTIFS('Test Cases'!$J$2:$J$500,A25,'Test Cases'!$M$2:$M$500,"Manual")</f>
        <v>3</v>
      </c>
      <c r="H25" s="10">
        <f>COUNTIFS('Test Cases'!$J$2:$J$500,A25,'Test Cases'!$N$2:$N$500,"Yes*")</f>
        <v>0</v>
      </c>
      <c r="I25" s="10">
        <f>COUNTIFS('Test Cases'!$J$2:$J$500,A25,'Test Cases'!$L$2:$L$500,"Pass")</f>
        <v>0</v>
      </c>
      <c r="J25" s="10" t="str">
        <f t="shared" si="0"/>
        <v>Covered</v>
      </c>
    </row>
    <row r="26" spans="1:10" ht="37.5" customHeight="1" x14ac:dyDescent="0.3">
      <c r="A26" s="7" t="s">
        <v>103</v>
      </c>
      <c r="B26" s="7" t="s">
        <v>101</v>
      </c>
      <c r="C26" s="7" t="s">
        <v>195</v>
      </c>
      <c r="D26" s="7" t="s">
        <v>1896</v>
      </c>
      <c r="E26" s="7">
        <f>COUNTIF('Test Cases'!$J$2:$J$500,A26)</f>
        <v>5</v>
      </c>
      <c r="F26" s="7">
        <f>COUNTIFS('Test Cases'!$J$2:$J$500,A26,'Test Cases'!$M$2:$M$500,"Automated")</f>
        <v>3</v>
      </c>
      <c r="G26" s="7">
        <f>COUNTIFS('Test Cases'!$J$2:$J$500,A26,'Test Cases'!$M$2:$M$500,"Manual")</f>
        <v>2</v>
      </c>
      <c r="H26" s="7">
        <f>COUNTIFS('Test Cases'!$J$2:$J$500,A26,'Test Cases'!$N$2:$N$500,"Yes*")</f>
        <v>4</v>
      </c>
      <c r="I26" s="7">
        <f>COUNTIFS('Test Cases'!$J$2:$J$500,A26,'Test Cases'!$L$2:$L$500,"Pass")</f>
        <v>3</v>
      </c>
      <c r="J26" s="7" t="str">
        <f t="shared" si="0"/>
        <v>Covered</v>
      </c>
    </row>
    <row r="27" spans="1:10" ht="25.5" customHeight="1" x14ac:dyDescent="0.3">
      <c r="A27" s="10" t="s">
        <v>197</v>
      </c>
      <c r="B27" s="10" t="s">
        <v>104</v>
      </c>
      <c r="C27" s="10" t="s">
        <v>140</v>
      </c>
      <c r="D27" s="10" t="s">
        <v>1897</v>
      </c>
      <c r="E27" s="10">
        <f>COUNTIF('Test Cases'!$J$2:$J$500,A27)</f>
        <v>2</v>
      </c>
      <c r="F27" s="10">
        <f>COUNTIFS('Test Cases'!$J$2:$J$500,A27,'Test Cases'!$M$2:$M$500,"Automated")</f>
        <v>0</v>
      </c>
      <c r="G27" s="10">
        <f>COUNTIFS('Test Cases'!$J$2:$J$500,A27,'Test Cases'!$M$2:$M$500,"Manual")</f>
        <v>2</v>
      </c>
      <c r="H27" s="10">
        <f>COUNTIFS('Test Cases'!$J$2:$J$500,A27,'Test Cases'!$N$2:$N$500,"Yes*")</f>
        <v>0</v>
      </c>
      <c r="I27" s="10">
        <f>COUNTIFS('Test Cases'!$J$2:$J$500,A27,'Test Cases'!$L$2:$L$500,"Pass")</f>
        <v>0</v>
      </c>
      <c r="J27" s="10" t="str">
        <f t="shared" si="0"/>
        <v>Covered</v>
      </c>
    </row>
    <row r="28" spans="1:10" ht="78.75" customHeight="1" x14ac:dyDescent="0.3">
      <c r="A28" s="7" t="s">
        <v>199</v>
      </c>
      <c r="B28" s="7" t="s">
        <v>200</v>
      </c>
      <c r="C28" s="7" t="s">
        <v>143</v>
      </c>
      <c r="D28" s="7" t="s">
        <v>1898</v>
      </c>
      <c r="E28" s="7">
        <f>COUNTIF('Test Cases'!$J$2:$J$500,A28)</f>
        <v>13</v>
      </c>
      <c r="F28" s="7">
        <f>COUNTIFS('Test Cases'!$J$2:$J$500,A28,'Test Cases'!$M$2:$M$500,"Automated")</f>
        <v>0</v>
      </c>
      <c r="G28" s="7">
        <f>COUNTIFS('Test Cases'!$J$2:$J$500,A28,'Test Cases'!$M$2:$M$500,"Manual")</f>
        <v>13</v>
      </c>
      <c r="H28" s="7">
        <f>COUNTIFS('Test Cases'!$J$2:$J$500,A28,'Test Cases'!$N$2:$N$500,"Yes*")</f>
        <v>3</v>
      </c>
      <c r="I28" s="7">
        <f>COUNTIFS('Test Cases'!$J$2:$J$500,A28,'Test Cases'!$L$2:$L$500,"Pass")</f>
        <v>2</v>
      </c>
      <c r="J28" s="7" t="str">
        <f t="shared" si="0"/>
        <v>Covered</v>
      </c>
    </row>
    <row r="29" spans="1:10" ht="37.5" customHeight="1" x14ac:dyDescent="0.3">
      <c r="A29" s="10" t="s">
        <v>202</v>
      </c>
      <c r="B29" s="10" t="s">
        <v>203</v>
      </c>
      <c r="C29" s="10" t="s">
        <v>143</v>
      </c>
      <c r="D29" s="10" t="s">
        <v>1899</v>
      </c>
      <c r="E29" s="10">
        <f>COUNTIF('Test Cases'!$J$2:$J$500,A29)</f>
        <v>6</v>
      </c>
      <c r="F29" s="10">
        <f>COUNTIFS('Test Cases'!$J$2:$J$500,A29,'Test Cases'!$M$2:$M$500,"Automated")</f>
        <v>0</v>
      </c>
      <c r="G29" s="10">
        <f>COUNTIFS('Test Cases'!$J$2:$J$500,A29,'Test Cases'!$M$2:$M$500,"Manual")</f>
        <v>6</v>
      </c>
      <c r="H29" s="10">
        <f>COUNTIFS('Test Cases'!$J$2:$J$500,A29,'Test Cases'!$N$2:$N$500,"Yes*")</f>
        <v>1</v>
      </c>
      <c r="I29" s="10">
        <f>COUNTIFS('Test Cases'!$J$2:$J$500,A29,'Test Cases'!$L$2:$L$500,"Pass")</f>
        <v>0</v>
      </c>
      <c r="J29" s="10" t="str">
        <f t="shared" si="0"/>
        <v>Covered</v>
      </c>
    </row>
    <row r="30" spans="1:10" ht="51.75" customHeight="1" x14ac:dyDescent="0.3">
      <c r="A30" s="7" t="s">
        <v>100</v>
      </c>
      <c r="B30" s="7" t="s">
        <v>98</v>
      </c>
      <c r="C30" s="7" t="s">
        <v>143</v>
      </c>
      <c r="D30" s="7" t="s">
        <v>1900</v>
      </c>
      <c r="E30" s="7">
        <f>COUNTIF('Test Cases'!$J$2:$J$500,A30)</f>
        <v>9</v>
      </c>
      <c r="F30" s="7">
        <f>COUNTIFS('Test Cases'!$J$2:$J$500,A30,'Test Cases'!$M$2:$M$500,"Automated")</f>
        <v>0</v>
      </c>
      <c r="G30" s="7">
        <f>COUNTIFS('Test Cases'!$J$2:$J$500,A30,'Test Cases'!$M$2:$M$500,"Manual")</f>
        <v>9</v>
      </c>
      <c r="H30" s="7">
        <f>COUNTIFS('Test Cases'!$J$2:$J$500,A30,'Test Cases'!$N$2:$N$500,"Yes*")</f>
        <v>1</v>
      </c>
      <c r="I30" s="7">
        <f>COUNTIFS('Test Cases'!$J$2:$J$500,A30,'Test Cases'!$L$2:$L$500,"Pass")</f>
        <v>0</v>
      </c>
      <c r="J30" s="7" t="str">
        <f t="shared" si="0"/>
        <v>Covered</v>
      </c>
    </row>
  </sheetData>
  <autoFilter ref="A1:J30"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85"/>
  <sheetViews>
    <sheetView topLeftCell="A82" zoomScale="90" zoomScaleNormal="90" workbookViewId="0">
      <selection activeCell="J8" sqref="J8"/>
    </sheetView>
  </sheetViews>
  <sheetFormatPr defaultColWidth="8.6640625" defaultRowHeight="14.4" x14ac:dyDescent="0.3"/>
  <cols>
    <col min="1" max="1" width="42" customWidth="1"/>
    <col min="2" max="3" width="14" customWidth="1"/>
  </cols>
  <sheetData>
    <row r="1" spans="1:3" ht="30" customHeight="1" x14ac:dyDescent="0.3">
      <c r="A1" s="4" t="s">
        <v>1901</v>
      </c>
    </row>
    <row r="2" spans="1:3" ht="25.5" customHeight="1" x14ac:dyDescent="0.3"/>
    <row r="3" spans="1:3" ht="25.5" customHeight="1" x14ac:dyDescent="0.3">
      <c r="A3" s="8" t="s">
        <v>1902</v>
      </c>
    </row>
    <row r="4" spans="1:3" ht="25.5" customHeight="1" x14ac:dyDescent="0.3">
      <c r="A4" s="6" t="s">
        <v>1903</v>
      </c>
      <c r="B4" s="15">
        <f>COUNTA('Test Cases'!$A$2:$A$500)</f>
        <v>228</v>
      </c>
    </row>
    <row r="5" spans="1:3" ht="25.5" customHeight="1" x14ac:dyDescent="0.3">
      <c r="A5" s="6" t="s">
        <v>1904</v>
      </c>
      <c r="B5" s="15">
        <f>COUNTA('Test Scenarios'!$A$2:$A$100)</f>
        <v>29</v>
      </c>
    </row>
    <row r="6" spans="1:3" ht="25.5" customHeight="1" x14ac:dyDescent="0.3"/>
    <row r="7" spans="1:3" ht="25.5" customHeight="1" x14ac:dyDescent="0.3">
      <c r="A7" s="8" t="s">
        <v>1905</v>
      </c>
    </row>
    <row r="8" spans="1:3" ht="25.5" customHeight="1" x14ac:dyDescent="0.3">
      <c r="A8" s="9" t="s">
        <v>1902</v>
      </c>
      <c r="B8" s="9" t="s">
        <v>1906</v>
      </c>
      <c r="C8" s="9" t="s">
        <v>1907</v>
      </c>
    </row>
    <row r="9" spans="1:3" ht="25.5" customHeight="1" x14ac:dyDescent="0.3">
      <c r="A9" s="7" t="s">
        <v>142</v>
      </c>
      <c r="B9" s="16">
        <f>COUNTIF('Test Cases'!$D$2:$D$500,"P1 - Critical")</f>
        <v>36</v>
      </c>
      <c r="C9" s="17">
        <f>IFERROR(B9/$B$4,0)</f>
        <v>0.15789473684210525</v>
      </c>
    </row>
    <row r="10" spans="1:3" ht="25.5" customHeight="1" x14ac:dyDescent="0.3">
      <c r="A10" s="7" t="s">
        <v>147</v>
      </c>
      <c r="B10" s="16">
        <f>COUNTIF('Test Cases'!$D$2:$D$500,"P2 - High")</f>
        <v>93</v>
      </c>
      <c r="C10" s="17">
        <f>IFERROR(B10/$B$4,0)</f>
        <v>0.40789473684210525</v>
      </c>
    </row>
    <row r="11" spans="1:3" ht="25.5" customHeight="1" x14ac:dyDescent="0.3">
      <c r="A11" s="7" t="s">
        <v>155</v>
      </c>
      <c r="B11" s="16">
        <f>COUNTIF('Test Cases'!$D$2:$D$500,"P3 - Medium")</f>
        <v>92</v>
      </c>
      <c r="C11" s="17">
        <f>IFERROR(B11/$B$4,0)</f>
        <v>0.40350877192982454</v>
      </c>
    </row>
    <row r="12" spans="1:3" ht="25.5" customHeight="1" x14ac:dyDescent="0.3">
      <c r="A12" s="7" t="s">
        <v>256</v>
      </c>
      <c r="B12" s="16">
        <f>COUNTIF('Test Cases'!$D$2:$D$500,"P4 - Low")</f>
        <v>7</v>
      </c>
      <c r="C12" s="17">
        <f>IFERROR(B12/$B$4,0)</f>
        <v>3.0701754385964911E-2</v>
      </c>
    </row>
    <row r="13" spans="1:3" ht="25.5" customHeight="1" x14ac:dyDescent="0.3"/>
    <row r="14" spans="1:3" ht="40.5" customHeight="1" x14ac:dyDescent="0.3">
      <c r="A14" s="8" t="s">
        <v>1908</v>
      </c>
    </row>
    <row r="15" spans="1:3" ht="25.5" customHeight="1" x14ac:dyDescent="0.3">
      <c r="A15" s="9" t="s">
        <v>1902</v>
      </c>
      <c r="B15" s="9" t="s">
        <v>1906</v>
      </c>
      <c r="C15" s="9" t="s">
        <v>1907</v>
      </c>
    </row>
    <row r="16" spans="1:3" ht="25.5" customHeight="1" x14ac:dyDescent="0.3">
      <c r="A16" s="7" t="s">
        <v>236</v>
      </c>
      <c r="B16" s="16">
        <f>COUNTIF('Test Cases'!$E$2:$E$500,"*Pozitiv*")</f>
        <v>148</v>
      </c>
      <c r="C16" s="17">
        <f t="shared" ref="C16:C24" si="0">IFERROR(B16/$B$4,0)</f>
        <v>0.64912280701754388</v>
      </c>
    </row>
    <row r="17" spans="1:3" ht="25.5" customHeight="1" x14ac:dyDescent="0.3">
      <c r="A17" s="7" t="s">
        <v>464</v>
      </c>
      <c r="B17" s="16">
        <f>COUNTIF('Test Cases'!$E$2:$E$500,"*Neqativ*")</f>
        <v>59</v>
      </c>
      <c r="C17" s="17">
        <f t="shared" si="0"/>
        <v>0.25877192982456143</v>
      </c>
    </row>
    <row r="18" spans="1:3" ht="25.5" customHeight="1" x14ac:dyDescent="0.3">
      <c r="A18" s="7" t="s">
        <v>672</v>
      </c>
      <c r="B18" s="16">
        <f>COUNTIF('Test Cases'!$E$2:$E$500,"*BVA*")</f>
        <v>24</v>
      </c>
      <c r="C18" s="17">
        <f t="shared" si="0"/>
        <v>0.10526315789473684</v>
      </c>
    </row>
    <row r="19" spans="1:3" ht="25.5" customHeight="1" x14ac:dyDescent="0.3">
      <c r="A19" s="7" t="s">
        <v>1909</v>
      </c>
      <c r="B19" s="16">
        <f>COUNTIF('Test Cases'!$E$2:$E$500,"*EP*")</f>
        <v>17</v>
      </c>
      <c r="C19" s="17">
        <f t="shared" si="0"/>
        <v>7.4561403508771926E-2</v>
      </c>
    </row>
    <row r="20" spans="1:3" ht="25.5" customHeight="1" x14ac:dyDescent="0.3">
      <c r="A20" s="7" t="s">
        <v>449</v>
      </c>
      <c r="B20" s="16">
        <f>COUNTIF('Test Cases'!$E$2:$E$500,"*Edge*")</f>
        <v>10</v>
      </c>
      <c r="C20" s="17">
        <f t="shared" si="0"/>
        <v>4.3859649122807015E-2</v>
      </c>
    </row>
    <row r="21" spans="1:3" ht="25.5" customHeight="1" x14ac:dyDescent="0.3">
      <c r="A21" s="7" t="s">
        <v>1910</v>
      </c>
      <c r="B21" s="16">
        <f>COUNTIF('Test Cases'!$E$2:$E$500,"*Decision Table*")</f>
        <v>7</v>
      </c>
      <c r="C21" s="17">
        <f t="shared" si="0"/>
        <v>3.0701754385964911E-2</v>
      </c>
    </row>
    <row r="22" spans="1:3" ht="25.5" customHeight="1" x14ac:dyDescent="0.3">
      <c r="A22" s="7" t="s">
        <v>1911</v>
      </c>
      <c r="B22" s="16">
        <f>COUNTIF('Test Cases'!$E$2:$E$500,"*State Transition*")</f>
        <v>25</v>
      </c>
      <c r="C22" s="17">
        <f t="shared" si="0"/>
        <v>0.10964912280701754</v>
      </c>
    </row>
    <row r="23" spans="1:3" ht="25.5" customHeight="1" x14ac:dyDescent="0.3">
      <c r="A23" s="7" t="s">
        <v>59</v>
      </c>
      <c r="B23" s="16">
        <f>COUNTIF('Test Cases'!$E$2:$E$500,"*UI*")</f>
        <v>11</v>
      </c>
      <c r="C23" s="17">
        <f t="shared" si="0"/>
        <v>4.8245614035087717E-2</v>
      </c>
    </row>
    <row r="24" spans="1:3" ht="25.5" customHeight="1" x14ac:dyDescent="0.3">
      <c r="A24" s="7" t="s">
        <v>1912</v>
      </c>
      <c r="B24" s="16">
        <f>COUNTIF('Test Cases'!$E$2:$E$500,"*Smoke*")</f>
        <v>8</v>
      </c>
      <c r="C24" s="17">
        <f t="shared" si="0"/>
        <v>3.5087719298245612E-2</v>
      </c>
    </row>
    <row r="25" spans="1:3" ht="25.5" customHeight="1" x14ac:dyDescent="0.3"/>
    <row r="26" spans="1:3" ht="25.5" customHeight="1" x14ac:dyDescent="0.3">
      <c r="A26" s="8" t="s">
        <v>1913</v>
      </c>
    </row>
    <row r="27" spans="1:3" ht="25.5" customHeight="1" x14ac:dyDescent="0.3">
      <c r="A27" s="9" t="s">
        <v>1902</v>
      </c>
      <c r="B27" s="9" t="s">
        <v>1906</v>
      </c>
      <c r="C27" s="9" t="s">
        <v>1907</v>
      </c>
    </row>
    <row r="28" spans="1:3" ht="25.5" customHeight="1" x14ac:dyDescent="0.3">
      <c r="A28" s="7" t="s">
        <v>228</v>
      </c>
      <c r="B28" s="16">
        <f>COUNTIF('Test Cases'!$M$2:$M$500,"Automated")</f>
        <v>43</v>
      </c>
      <c r="C28" s="17">
        <f>IFERROR(B28/$B$4,0)</f>
        <v>0.18859649122807018</v>
      </c>
    </row>
    <row r="29" spans="1:3" ht="25.5" customHeight="1" x14ac:dyDescent="0.3">
      <c r="A29" s="7" t="s">
        <v>251</v>
      </c>
      <c r="B29" s="16">
        <f>COUNTIF('Test Cases'!$M$2:$M$500,"Manual")</f>
        <v>185</v>
      </c>
      <c r="C29" s="17">
        <f>IFERROR(B29/$B$4,0)</f>
        <v>0.81140350877192979</v>
      </c>
    </row>
    <row r="30" spans="1:3" ht="25.5" customHeight="1" x14ac:dyDescent="0.3"/>
    <row r="31" spans="1:3" ht="25.5" customHeight="1" x14ac:dyDescent="0.3">
      <c r="A31" s="8" t="s">
        <v>46</v>
      </c>
    </row>
    <row r="32" spans="1:3" ht="25.5" customHeight="1" x14ac:dyDescent="0.3">
      <c r="A32" s="9" t="s">
        <v>1902</v>
      </c>
      <c r="B32" s="9" t="s">
        <v>1906</v>
      </c>
      <c r="C32" s="9" t="s">
        <v>1907</v>
      </c>
    </row>
    <row r="33" spans="1:3" ht="25.5" customHeight="1" x14ac:dyDescent="0.3">
      <c r="A33" s="7" t="s">
        <v>1914</v>
      </c>
      <c r="B33" s="16">
        <f>COUNTIF('Test Cases'!$N$2:$N$500,"Yes")</f>
        <v>43</v>
      </c>
      <c r="C33" s="17">
        <f>IFERROR(B33/$B$4,0)</f>
        <v>0.18859649122807018</v>
      </c>
    </row>
    <row r="34" spans="1:3" ht="25.5" customHeight="1" x14ac:dyDescent="0.3">
      <c r="A34" s="7" t="s">
        <v>1915</v>
      </c>
      <c r="B34" s="16">
        <f>COUNTIF('Test Cases'!$N$2:$N$500,"Yes (Manual)")</f>
        <v>57</v>
      </c>
      <c r="C34" s="17">
        <f>IFERROR(B34/$B$4,0)</f>
        <v>0.25</v>
      </c>
    </row>
    <row r="35" spans="1:3" ht="25.5" customHeight="1" x14ac:dyDescent="0.3">
      <c r="A35" s="7" t="s">
        <v>1916</v>
      </c>
      <c r="B35" s="16">
        <f>COUNTIF('Test Cases'!$N$2:$N$500,"No")</f>
        <v>128</v>
      </c>
      <c r="C35" s="17">
        <f>IFERROR(B35/$B$4,0)</f>
        <v>0.56140350877192979</v>
      </c>
    </row>
    <row r="36" spans="1:3" ht="37.5" customHeight="1" x14ac:dyDescent="0.3">
      <c r="A36" s="6" t="s">
        <v>1917</v>
      </c>
      <c r="B36" s="18">
        <f>IFERROR(B33/(B33+B34),0)</f>
        <v>0.43</v>
      </c>
    </row>
    <row r="37" spans="1:3" ht="25.5" customHeight="1" x14ac:dyDescent="0.3"/>
    <row r="38" spans="1:3" ht="25.5" customHeight="1" x14ac:dyDescent="0.3">
      <c r="A38" s="8" t="s">
        <v>1918</v>
      </c>
    </row>
    <row r="39" spans="1:3" ht="25.5" customHeight="1" x14ac:dyDescent="0.3">
      <c r="A39" s="9" t="s">
        <v>1902</v>
      </c>
      <c r="B39" s="9" t="s">
        <v>1906</v>
      </c>
      <c r="C39" s="9" t="s">
        <v>1907</v>
      </c>
    </row>
    <row r="40" spans="1:3" ht="25.5" customHeight="1" x14ac:dyDescent="0.3">
      <c r="A40" s="7" t="s">
        <v>227</v>
      </c>
      <c r="B40" s="16">
        <f>COUNTIF('Test Cases'!$L$2:$L$500,"Pass")</f>
        <v>79</v>
      </c>
      <c r="C40" s="17">
        <f>IFERROR(B40/$B$4,0)</f>
        <v>0.34649122807017546</v>
      </c>
    </row>
    <row r="41" spans="1:3" ht="25.5" customHeight="1" x14ac:dyDescent="0.3">
      <c r="A41" s="7" t="s">
        <v>1243</v>
      </c>
      <c r="B41" s="16">
        <f>COUNTIF('Test Cases'!$L$2:$L$500,"Fail")</f>
        <v>3</v>
      </c>
      <c r="C41" s="17">
        <f>IFERROR(B41/$B$4,0)</f>
        <v>1.3157894736842105E-2</v>
      </c>
    </row>
    <row r="42" spans="1:3" ht="25.5" customHeight="1" x14ac:dyDescent="0.3">
      <c r="A42" s="7" t="s">
        <v>1919</v>
      </c>
      <c r="B42" s="16">
        <f>COUNTIF('Test Cases'!$L$2:$L$500,"Blocked")</f>
        <v>0</v>
      </c>
      <c r="C42" s="17">
        <f>IFERROR(B42/$B$4,0)</f>
        <v>0</v>
      </c>
    </row>
    <row r="43" spans="1:3" ht="25.5" customHeight="1" x14ac:dyDescent="0.3">
      <c r="A43" s="7" t="s">
        <v>250</v>
      </c>
      <c r="B43" s="16">
        <f>COUNTIF('Test Cases'!$L$2:$L$500,"Not Run")</f>
        <v>146</v>
      </c>
      <c r="C43" s="17">
        <f>IFERROR(B43/$B$4,0)</f>
        <v>0.64035087719298245</v>
      </c>
    </row>
    <row r="44" spans="1:3" ht="60" customHeight="1" x14ac:dyDescent="0.3">
      <c r="A44" s="2" t="s">
        <v>1920</v>
      </c>
      <c r="B44" s="2"/>
      <c r="C44" s="2"/>
    </row>
    <row r="45" spans="1:3" ht="48.75" customHeight="1" x14ac:dyDescent="0.3">
      <c r="A45" s="4" t="s">
        <v>1921</v>
      </c>
    </row>
    <row r="46" spans="1:3" ht="25.5" customHeight="1" x14ac:dyDescent="0.3"/>
    <row r="47" spans="1:3" ht="25.5" customHeight="1" x14ac:dyDescent="0.3">
      <c r="A47" s="8" t="s">
        <v>1902</v>
      </c>
      <c r="B47" s="19" t="s">
        <v>1906</v>
      </c>
      <c r="C47" s="19" t="s">
        <v>1907</v>
      </c>
    </row>
    <row r="48" spans="1:3" ht="25.5" customHeight="1" x14ac:dyDescent="0.3">
      <c r="A48" s="7" t="s">
        <v>1922</v>
      </c>
      <c r="B48" s="16">
        <f>COUNTA('API_Test Cases'!$A$2:$A$500)</f>
        <v>168</v>
      </c>
      <c r="C48" s="17"/>
    </row>
    <row r="49" spans="1:3" ht="25.5" customHeight="1" x14ac:dyDescent="0.3">
      <c r="A49" s="7" t="s">
        <v>1923</v>
      </c>
      <c r="B49" s="16">
        <f>COUNTIF('API_Test Scenarios'!$A$2:$A$100,"SC_API_*")</f>
        <v>11</v>
      </c>
      <c r="C49" s="17"/>
    </row>
    <row r="50" spans="1:3" ht="25.5" customHeight="1" x14ac:dyDescent="0.3">
      <c r="A50" s="7" t="s">
        <v>1924</v>
      </c>
      <c r="B50" s="16">
        <f>COUNTIF('Bug Reports'!$A:$A,"BUG_API*")</f>
        <v>4</v>
      </c>
      <c r="C50" s="17"/>
    </row>
    <row r="51" spans="1:3" ht="25.5" customHeight="1" x14ac:dyDescent="0.3"/>
    <row r="52" spans="1:3" ht="25.5" customHeight="1" x14ac:dyDescent="0.3">
      <c r="A52" s="8" t="s">
        <v>1905</v>
      </c>
    </row>
    <row r="53" spans="1:3" ht="25.5" customHeight="1" x14ac:dyDescent="0.3">
      <c r="A53" s="8" t="s">
        <v>1902</v>
      </c>
      <c r="B53" s="19" t="s">
        <v>1906</v>
      </c>
      <c r="C53" s="19" t="s">
        <v>1907</v>
      </c>
    </row>
    <row r="54" spans="1:3" ht="25.5" customHeight="1" x14ac:dyDescent="0.3">
      <c r="A54" s="7" t="s">
        <v>142</v>
      </c>
      <c r="B54" s="16">
        <f>COUNTIF('API_Test Cases'!$E$2:$E$500,"P1 - Critical")</f>
        <v>47</v>
      </c>
      <c r="C54" s="20">
        <f>IFERROR(B54/$B$48,0)</f>
        <v>0.27976190476190477</v>
      </c>
    </row>
    <row r="55" spans="1:3" ht="25.5" customHeight="1" x14ac:dyDescent="0.3">
      <c r="A55" s="7" t="s">
        <v>147</v>
      </c>
      <c r="B55" s="16">
        <f>COUNTIF('API_Test Cases'!$E$2:$E$500,"P2 - High")</f>
        <v>76</v>
      </c>
      <c r="C55" s="20">
        <f>IFERROR(B55/$B$48,0)</f>
        <v>0.45238095238095238</v>
      </c>
    </row>
    <row r="56" spans="1:3" ht="25.5" customHeight="1" x14ac:dyDescent="0.3">
      <c r="A56" s="7" t="s">
        <v>155</v>
      </c>
      <c r="B56" s="16">
        <f>COUNTIF('API_Test Cases'!$E$2:$E$500,"P3 - Medium")</f>
        <v>41</v>
      </c>
      <c r="C56" s="20">
        <f>IFERROR(B56/$B$48,0)</f>
        <v>0.24404761904761904</v>
      </c>
    </row>
    <row r="57" spans="1:3" ht="25.5" customHeight="1" x14ac:dyDescent="0.3">
      <c r="A57" s="7" t="s">
        <v>256</v>
      </c>
      <c r="B57" s="16">
        <f>COUNTIF('API_Test Cases'!$E$2:$E$500,"P4 - Low")</f>
        <v>4</v>
      </c>
      <c r="C57" s="20">
        <f>IFERROR(B57/$B$48,0)</f>
        <v>2.3809523809523808E-2</v>
      </c>
    </row>
    <row r="58" spans="1:3" ht="25.5" customHeight="1" x14ac:dyDescent="0.3"/>
    <row r="59" spans="1:3" ht="40.5" customHeight="1" x14ac:dyDescent="0.3">
      <c r="A59" s="8" t="s">
        <v>1925</v>
      </c>
    </row>
    <row r="60" spans="1:3" ht="25.5" customHeight="1" x14ac:dyDescent="0.3">
      <c r="A60" s="8" t="s">
        <v>1902</v>
      </c>
      <c r="B60" s="19" t="s">
        <v>1906</v>
      </c>
      <c r="C60" s="19" t="s">
        <v>1907</v>
      </c>
    </row>
    <row r="61" spans="1:3" ht="25.5" customHeight="1" x14ac:dyDescent="0.3">
      <c r="A61" s="7" t="s">
        <v>1926</v>
      </c>
      <c r="B61" s="16">
        <f>COUNTIF('API_Test Cases'!$P$2:$P$500,"*EP*")</f>
        <v>82</v>
      </c>
      <c r="C61" s="20">
        <f t="shared" ref="C61:C66" si="1">IFERROR(B61/$B$48,0)</f>
        <v>0.48809523809523808</v>
      </c>
    </row>
    <row r="62" spans="1:3" ht="25.5" customHeight="1" x14ac:dyDescent="0.3">
      <c r="A62" s="7" t="s">
        <v>1927</v>
      </c>
      <c r="B62" s="16">
        <f>COUNTIF('API_Test Cases'!$P$2:$P$500,"*BVA*")</f>
        <v>38</v>
      </c>
      <c r="C62" s="20">
        <f t="shared" si="1"/>
        <v>0.22619047619047619</v>
      </c>
    </row>
    <row r="63" spans="1:3" ht="25.5" customHeight="1" x14ac:dyDescent="0.3">
      <c r="A63" s="7" t="s">
        <v>1928</v>
      </c>
      <c r="B63" s="16">
        <f>COUNTIF('API_Test Cases'!$P$2:$P$500,"*Decision table*")</f>
        <v>8</v>
      </c>
      <c r="C63" s="20">
        <f t="shared" si="1"/>
        <v>4.7619047619047616E-2</v>
      </c>
    </row>
    <row r="64" spans="1:3" ht="25.5" customHeight="1" x14ac:dyDescent="0.3">
      <c r="A64" s="7" t="s">
        <v>1854</v>
      </c>
      <c r="B64" s="16">
        <f>COUNTIF('API_Test Cases'!$P$2:$P$500,"*State transition*")</f>
        <v>24</v>
      </c>
      <c r="C64" s="20">
        <f t="shared" si="1"/>
        <v>0.14285714285714285</v>
      </c>
    </row>
    <row r="65" spans="1:3" ht="25.5" customHeight="1" x14ac:dyDescent="0.3">
      <c r="A65" s="7" t="s">
        <v>1929</v>
      </c>
      <c r="B65" s="16">
        <f>COUNTIF('API_Test Cases'!$P$2:$P$500,"*Error guessing*")</f>
        <v>22</v>
      </c>
      <c r="C65" s="20">
        <f t="shared" si="1"/>
        <v>0.13095238095238096</v>
      </c>
    </row>
    <row r="66" spans="1:3" ht="25.5" customHeight="1" x14ac:dyDescent="0.3">
      <c r="A66" s="7" t="s">
        <v>1930</v>
      </c>
      <c r="B66" s="16">
        <f>COUNTIF('API_Test Cases'!$P$2:$P$500,"*Contract*")</f>
        <v>6</v>
      </c>
      <c r="C66" s="20">
        <f t="shared" si="1"/>
        <v>3.5714285714285712E-2</v>
      </c>
    </row>
    <row r="67" spans="1:3" ht="25.5" customHeight="1" x14ac:dyDescent="0.3"/>
    <row r="68" spans="1:3" ht="25.5" customHeight="1" x14ac:dyDescent="0.3">
      <c r="A68" s="8" t="s">
        <v>1931</v>
      </c>
    </row>
    <row r="69" spans="1:3" ht="25.5" customHeight="1" x14ac:dyDescent="0.3">
      <c r="A69" s="8" t="s">
        <v>1902</v>
      </c>
      <c r="B69" s="19" t="s">
        <v>1906</v>
      </c>
      <c r="C69" s="19" t="s">
        <v>1907</v>
      </c>
    </row>
    <row r="70" spans="1:3" ht="25.5" customHeight="1" x14ac:dyDescent="0.3">
      <c r="A70" s="7" t="s">
        <v>227</v>
      </c>
      <c r="B70" s="16">
        <f>COUNTIF('API_Test Cases'!$M$2:$M$500,"Pass")</f>
        <v>168</v>
      </c>
      <c r="C70" s="20">
        <f>IFERROR(B70/$B$48,0)</f>
        <v>1</v>
      </c>
    </row>
    <row r="71" spans="1:3" ht="25.5" customHeight="1" x14ac:dyDescent="0.3">
      <c r="A71" s="7" t="s">
        <v>1243</v>
      </c>
      <c r="B71" s="16">
        <f>COUNTIF('API_Test Cases'!$M$2:$M$500,"Fail")</f>
        <v>0</v>
      </c>
      <c r="C71" s="20">
        <f>IFERROR(B71/$B$48,0)</f>
        <v>0</v>
      </c>
    </row>
    <row r="72" spans="1:3" ht="25.5" customHeight="1" x14ac:dyDescent="0.3">
      <c r="A72" s="7" t="s">
        <v>1932</v>
      </c>
      <c r="B72" s="16">
        <f>COUNTIF('API_Test Cases'!$M$2:$M$500,"Not Run")</f>
        <v>0</v>
      </c>
      <c r="C72" s="20">
        <f>IFERROR(B72/$B$48,0)</f>
        <v>0</v>
      </c>
    </row>
    <row r="73" spans="1:3" ht="25.5" customHeight="1" x14ac:dyDescent="0.3"/>
    <row r="74" spans="1:3" ht="25.5" customHeight="1" x14ac:dyDescent="0.3">
      <c r="A74" s="8" t="s">
        <v>1933</v>
      </c>
    </row>
    <row r="75" spans="1:3" ht="25.5" customHeight="1" x14ac:dyDescent="0.3">
      <c r="A75" s="8" t="s">
        <v>1902</v>
      </c>
      <c r="B75" s="19" t="s">
        <v>1906</v>
      </c>
      <c r="C75" s="19" t="s">
        <v>1907</v>
      </c>
    </row>
    <row r="76" spans="1:3" ht="37.5" customHeight="1" x14ac:dyDescent="0.3">
      <c r="A76" s="7" t="s">
        <v>1934</v>
      </c>
      <c r="B76" s="16">
        <f>COUNTIF('API_Test Cases'!$N$2:$N$500,"Automated")</f>
        <v>123</v>
      </c>
      <c r="C76" s="20">
        <f>IFERROR(B76/$B$48,0)</f>
        <v>0.7321428571428571</v>
      </c>
    </row>
    <row r="77" spans="1:3" ht="25.5" customHeight="1" x14ac:dyDescent="0.3">
      <c r="A77" s="7" t="s">
        <v>1935</v>
      </c>
      <c r="B77" s="16">
        <f>COUNTIF('API_Test Cases'!$N$2:$N$500,"Manual")</f>
        <v>45</v>
      </c>
      <c r="C77" s="20">
        <f>IFERROR(B77/$B$48,0)</f>
        <v>0.26785714285714285</v>
      </c>
    </row>
    <row r="78" spans="1:3" ht="37.5" customHeight="1" x14ac:dyDescent="0.3">
      <c r="A78" s="7" t="s">
        <v>1936</v>
      </c>
      <c r="B78" s="16">
        <f>COUNTIF('API_Test Cases'!$T$2:$T$500,"Yes*")</f>
        <v>130</v>
      </c>
      <c r="C78" s="20">
        <f>IFERROR(B78/$B$48,0)</f>
        <v>0.77380952380952384</v>
      </c>
    </row>
    <row r="79" spans="1:3" ht="25.5" customHeight="1" x14ac:dyDescent="0.3"/>
    <row r="80" spans="1:3" ht="25.5" customHeight="1" x14ac:dyDescent="0.3">
      <c r="A80" s="8" t="s">
        <v>1937</v>
      </c>
    </row>
    <row r="81" spans="1:3" ht="25.5" customHeight="1" x14ac:dyDescent="0.3">
      <c r="A81" s="8" t="s">
        <v>1938</v>
      </c>
      <c r="B81" s="19" t="s">
        <v>1939</v>
      </c>
    </row>
    <row r="82" spans="1:3" ht="37.5" customHeight="1" x14ac:dyDescent="0.3">
      <c r="A82" s="7" t="s">
        <v>1940</v>
      </c>
      <c r="B82" s="21" t="s">
        <v>1941</v>
      </c>
      <c r="C82" s="17"/>
    </row>
    <row r="83" spans="1:3" ht="93" customHeight="1" x14ac:dyDescent="0.3">
      <c r="A83" s="7" t="s">
        <v>1942</v>
      </c>
      <c r="B83" s="21" t="s">
        <v>1943</v>
      </c>
      <c r="C83" s="17"/>
    </row>
    <row r="84" spans="1:3" ht="66" customHeight="1" x14ac:dyDescent="0.3">
      <c r="A84" s="7" t="s">
        <v>1944</v>
      </c>
      <c r="B84" s="21" t="s">
        <v>1945</v>
      </c>
      <c r="C84" s="17"/>
    </row>
    <row r="85" spans="1:3" ht="37.5" customHeight="1" x14ac:dyDescent="0.3">
      <c r="A85" s="7" t="s">
        <v>1946</v>
      </c>
      <c r="B85" s="21" t="s">
        <v>1947</v>
      </c>
      <c r="C85" s="17"/>
    </row>
  </sheetData>
  <mergeCells count="1">
    <mergeCell ref="A44:C4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6"/>
  <sheetViews>
    <sheetView zoomScale="90" zoomScaleNormal="90" workbookViewId="0">
      <pane ySplit="1" topLeftCell="A31" activePane="bottomLeft" state="frozen"/>
      <selection pane="bottomLeft"/>
    </sheetView>
  </sheetViews>
  <sheetFormatPr defaultColWidth="8.6640625" defaultRowHeight="14.4" x14ac:dyDescent="0.3"/>
  <cols>
    <col min="1" max="1" width="11" customWidth="1"/>
    <col min="2" max="2" width="16" customWidth="1"/>
    <col min="3" max="3" width="55" customWidth="1"/>
    <col min="4" max="4" width="38" customWidth="1"/>
    <col min="5" max="5" width="28" customWidth="1"/>
    <col min="6" max="7" width="34" customWidth="1"/>
    <col min="8" max="8" width="11" customWidth="1"/>
  </cols>
  <sheetData>
    <row r="1" spans="1:8" ht="51.75" customHeight="1" x14ac:dyDescent="0.3">
      <c r="A1" s="9" t="s">
        <v>1948</v>
      </c>
      <c r="B1" s="9" t="s">
        <v>1949</v>
      </c>
      <c r="C1" s="9" t="s">
        <v>1950</v>
      </c>
      <c r="D1" s="9" t="s">
        <v>1951</v>
      </c>
      <c r="E1" s="9" t="s">
        <v>1952</v>
      </c>
      <c r="F1" s="9" t="s">
        <v>1953</v>
      </c>
      <c r="G1" s="9" t="s">
        <v>1954</v>
      </c>
      <c r="H1" s="9" t="s">
        <v>42</v>
      </c>
    </row>
    <row r="2" spans="1:8" ht="66" customHeight="1" x14ac:dyDescent="0.3">
      <c r="A2" s="7" t="s">
        <v>1955</v>
      </c>
      <c r="B2" s="7" t="s">
        <v>68</v>
      </c>
      <c r="C2" s="7" t="s">
        <v>1956</v>
      </c>
      <c r="D2" s="7" t="s">
        <v>1957</v>
      </c>
      <c r="E2" s="7" t="s">
        <v>468</v>
      </c>
      <c r="F2" s="7" t="s">
        <v>1958</v>
      </c>
      <c r="G2" s="7" t="s">
        <v>1959</v>
      </c>
      <c r="H2" s="7" t="s">
        <v>1960</v>
      </c>
    </row>
    <row r="3" spans="1:8" ht="93" customHeight="1" x14ac:dyDescent="0.3">
      <c r="A3" s="10" t="s">
        <v>1961</v>
      </c>
      <c r="B3" s="10" t="s">
        <v>1962</v>
      </c>
      <c r="C3" s="10" t="s">
        <v>1963</v>
      </c>
      <c r="D3" s="10" t="s">
        <v>1964</v>
      </c>
      <c r="E3" s="10" t="s">
        <v>589</v>
      </c>
      <c r="F3" s="10" t="s">
        <v>1965</v>
      </c>
      <c r="G3" s="10" t="s">
        <v>1966</v>
      </c>
      <c r="H3" s="10" t="s">
        <v>1960</v>
      </c>
    </row>
    <row r="4" spans="1:8" ht="78.75" customHeight="1" x14ac:dyDescent="0.3">
      <c r="A4" s="7" t="s">
        <v>1967</v>
      </c>
      <c r="B4" s="7" t="s">
        <v>1962</v>
      </c>
      <c r="C4" s="7" t="s">
        <v>1968</v>
      </c>
      <c r="D4" s="7" t="s">
        <v>1969</v>
      </c>
      <c r="E4" s="7" t="s">
        <v>575</v>
      </c>
      <c r="F4" s="7" t="s">
        <v>1970</v>
      </c>
      <c r="G4" s="7" t="s">
        <v>1971</v>
      </c>
      <c r="H4" s="7" t="s">
        <v>1960</v>
      </c>
    </row>
    <row r="5" spans="1:8" ht="105.75" customHeight="1" x14ac:dyDescent="0.3">
      <c r="A5" s="10" t="s">
        <v>1972</v>
      </c>
      <c r="B5" s="10" t="s">
        <v>83</v>
      </c>
      <c r="C5" s="10" t="s">
        <v>1973</v>
      </c>
      <c r="D5" s="10" t="s">
        <v>1974</v>
      </c>
      <c r="E5" s="10" t="s">
        <v>1975</v>
      </c>
      <c r="F5" s="10" t="s">
        <v>1976</v>
      </c>
      <c r="G5" s="10" t="s">
        <v>1977</v>
      </c>
      <c r="H5" s="10" t="s">
        <v>1960</v>
      </c>
    </row>
    <row r="6" spans="1:8" ht="66" customHeight="1" x14ac:dyDescent="0.3">
      <c r="A6" s="7" t="s">
        <v>1978</v>
      </c>
      <c r="B6" s="7" t="s">
        <v>165</v>
      </c>
      <c r="C6" s="7" t="s">
        <v>1979</v>
      </c>
      <c r="D6" s="7" t="s">
        <v>1980</v>
      </c>
      <c r="E6" s="7" t="s">
        <v>867</v>
      </c>
      <c r="F6" s="7" t="s">
        <v>1981</v>
      </c>
      <c r="G6" s="7" t="s">
        <v>1982</v>
      </c>
      <c r="H6" s="7" t="s">
        <v>1960</v>
      </c>
    </row>
    <row r="7" spans="1:8" ht="66" customHeight="1" x14ac:dyDescent="0.3">
      <c r="A7" s="10" t="s">
        <v>1983</v>
      </c>
      <c r="B7" s="10" t="s">
        <v>165</v>
      </c>
      <c r="C7" s="10" t="s">
        <v>1984</v>
      </c>
      <c r="D7" s="10" t="s">
        <v>1985</v>
      </c>
      <c r="E7" s="10" t="s">
        <v>876</v>
      </c>
      <c r="F7" s="10" t="s">
        <v>1986</v>
      </c>
      <c r="G7" s="10" t="s">
        <v>1987</v>
      </c>
      <c r="H7" s="10" t="s">
        <v>1960</v>
      </c>
    </row>
    <row r="8" spans="1:8" ht="37.5" customHeight="1" x14ac:dyDescent="0.3">
      <c r="A8" s="7" t="s">
        <v>1988</v>
      </c>
      <c r="B8" s="7" t="s">
        <v>1989</v>
      </c>
      <c r="C8" s="7" t="s">
        <v>1990</v>
      </c>
      <c r="D8" s="7" t="s">
        <v>1991</v>
      </c>
      <c r="E8" s="7" t="s">
        <v>976</v>
      </c>
      <c r="F8" s="7" t="s">
        <v>1992</v>
      </c>
      <c r="G8" s="7"/>
      <c r="H8" s="7" t="s">
        <v>1993</v>
      </c>
    </row>
    <row r="9" spans="1:8" ht="201.75" customHeight="1" x14ac:dyDescent="0.3">
      <c r="A9" s="10" t="s">
        <v>1994</v>
      </c>
      <c r="B9" s="10" t="s">
        <v>1995</v>
      </c>
      <c r="C9" s="10" t="s">
        <v>1996</v>
      </c>
      <c r="D9" s="10" t="s">
        <v>1997</v>
      </c>
      <c r="E9" s="10" t="s">
        <v>1110</v>
      </c>
      <c r="F9" s="10" t="s">
        <v>1998</v>
      </c>
      <c r="G9" s="10" t="s">
        <v>1999</v>
      </c>
      <c r="H9" s="10" t="s">
        <v>1960</v>
      </c>
    </row>
    <row r="10" spans="1:8" ht="160.5" customHeight="1" x14ac:dyDescent="0.3">
      <c r="A10" s="7" t="s">
        <v>2000</v>
      </c>
      <c r="B10" s="7" t="s">
        <v>1995</v>
      </c>
      <c r="C10" s="7" t="s">
        <v>2001</v>
      </c>
      <c r="D10" s="7" t="s">
        <v>2002</v>
      </c>
      <c r="E10" s="7" t="s">
        <v>2003</v>
      </c>
      <c r="F10" s="7" t="s">
        <v>2004</v>
      </c>
      <c r="G10" s="7" t="s">
        <v>2005</v>
      </c>
      <c r="H10" s="7" t="s">
        <v>1960</v>
      </c>
    </row>
    <row r="11" spans="1:8" ht="51.75" customHeight="1" x14ac:dyDescent="0.3">
      <c r="A11" s="10" t="s">
        <v>2006</v>
      </c>
      <c r="B11" s="10" t="s">
        <v>2007</v>
      </c>
      <c r="C11" s="10" t="s">
        <v>2008</v>
      </c>
      <c r="D11" s="10" t="s">
        <v>2009</v>
      </c>
      <c r="E11" s="10" t="s">
        <v>791</v>
      </c>
      <c r="F11" s="10" t="s">
        <v>2010</v>
      </c>
      <c r="G11" s="10"/>
      <c r="H11" s="10" t="s">
        <v>1993</v>
      </c>
    </row>
    <row r="12" spans="1:8" ht="66" customHeight="1" x14ac:dyDescent="0.3">
      <c r="A12" s="7" t="s">
        <v>2011</v>
      </c>
      <c r="B12" s="7" t="s">
        <v>189</v>
      </c>
      <c r="C12" s="7" t="s">
        <v>2012</v>
      </c>
      <c r="D12" s="7" t="s">
        <v>2013</v>
      </c>
      <c r="E12" s="7" t="s">
        <v>2014</v>
      </c>
      <c r="F12" s="7" t="s">
        <v>2015</v>
      </c>
      <c r="G12" s="7"/>
      <c r="H12" s="7" t="s">
        <v>1993</v>
      </c>
    </row>
    <row r="13" spans="1:8" ht="51.75" customHeight="1" x14ac:dyDescent="0.3">
      <c r="A13" s="10" t="s">
        <v>2016</v>
      </c>
      <c r="B13" s="10" t="s">
        <v>1933</v>
      </c>
      <c r="C13" s="10" t="s">
        <v>2017</v>
      </c>
      <c r="D13" s="10" t="s">
        <v>2018</v>
      </c>
      <c r="E13" s="10" t="s">
        <v>2019</v>
      </c>
      <c r="F13" s="10" t="s">
        <v>2020</v>
      </c>
      <c r="G13" s="10"/>
      <c r="H13" s="10" t="s">
        <v>1993</v>
      </c>
    </row>
    <row r="14" spans="1:8" ht="120" customHeight="1" x14ac:dyDescent="0.3">
      <c r="A14" s="7" t="s">
        <v>2021</v>
      </c>
      <c r="B14" s="7" t="s">
        <v>65</v>
      </c>
      <c r="C14" s="7" t="s">
        <v>2022</v>
      </c>
      <c r="D14" s="7" t="s">
        <v>2023</v>
      </c>
      <c r="E14" s="7" t="s">
        <v>421</v>
      </c>
      <c r="F14" s="7" t="s">
        <v>2024</v>
      </c>
      <c r="G14" s="7" t="s">
        <v>2025</v>
      </c>
      <c r="H14" s="7" t="s">
        <v>1993</v>
      </c>
    </row>
    <row r="15" spans="1:8" ht="37.5" customHeight="1" x14ac:dyDescent="0.3">
      <c r="A15" s="10" t="s">
        <v>2026</v>
      </c>
      <c r="B15" s="10" t="s">
        <v>2027</v>
      </c>
      <c r="C15" s="10" t="s">
        <v>2028</v>
      </c>
      <c r="D15" s="10" t="s">
        <v>2029</v>
      </c>
      <c r="E15" s="10" t="s">
        <v>1876</v>
      </c>
      <c r="F15" s="10" t="s">
        <v>2030</v>
      </c>
      <c r="G15" s="10"/>
      <c r="H15" s="10" t="s">
        <v>1993</v>
      </c>
    </row>
    <row r="16" spans="1:8" ht="37.5" customHeight="1" x14ac:dyDescent="0.3">
      <c r="A16" s="7" t="s">
        <v>2031</v>
      </c>
      <c r="B16" s="7" t="s">
        <v>1995</v>
      </c>
      <c r="C16" s="7" t="s">
        <v>2032</v>
      </c>
      <c r="D16" s="7" t="s">
        <v>2033</v>
      </c>
      <c r="E16" s="7" t="s">
        <v>1088</v>
      </c>
      <c r="F16" s="7" t="s">
        <v>2034</v>
      </c>
      <c r="G16" s="7"/>
      <c r="H16" s="7" t="s">
        <v>1993</v>
      </c>
    </row>
    <row r="17" spans="1:8" ht="51.75" customHeight="1" x14ac:dyDescent="0.3">
      <c r="A17" s="10" t="s">
        <v>2035</v>
      </c>
      <c r="B17" s="10" t="s">
        <v>2036</v>
      </c>
      <c r="C17" s="10" t="s">
        <v>2037</v>
      </c>
      <c r="D17" s="10" t="s">
        <v>2038</v>
      </c>
      <c r="E17" s="10" t="s">
        <v>2039</v>
      </c>
      <c r="F17" s="10" t="s">
        <v>2040</v>
      </c>
      <c r="G17" s="10"/>
      <c r="H17" s="10" t="s">
        <v>1993</v>
      </c>
    </row>
    <row r="18" spans="1:8" ht="93" customHeight="1" x14ac:dyDescent="0.3">
      <c r="A18" s="7" t="s">
        <v>2041</v>
      </c>
      <c r="B18" s="7" t="s">
        <v>2042</v>
      </c>
      <c r="C18" s="7" t="s">
        <v>2043</v>
      </c>
      <c r="D18" s="7" t="s">
        <v>2044</v>
      </c>
      <c r="E18" s="7" t="s">
        <v>2045</v>
      </c>
      <c r="F18" s="7" t="s">
        <v>2046</v>
      </c>
      <c r="G18" s="7" t="s">
        <v>2047</v>
      </c>
      <c r="H18" s="7" t="s">
        <v>1960</v>
      </c>
    </row>
    <row r="19" spans="1:8" ht="37.5" customHeight="1" x14ac:dyDescent="0.3">
      <c r="A19" s="10" t="s">
        <v>2048</v>
      </c>
      <c r="B19" s="10" t="s">
        <v>1989</v>
      </c>
      <c r="C19" s="10" t="s">
        <v>2049</v>
      </c>
      <c r="D19" s="10" t="s">
        <v>2050</v>
      </c>
      <c r="E19" s="10" t="s">
        <v>988</v>
      </c>
      <c r="F19" s="10" t="s">
        <v>2051</v>
      </c>
      <c r="G19" s="10"/>
      <c r="H19" s="10" t="s">
        <v>1993</v>
      </c>
    </row>
    <row r="20" spans="1:8" ht="133.5" customHeight="1" x14ac:dyDescent="0.3">
      <c r="A20" s="7" t="s">
        <v>2052</v>
      </c>
      <c r="B20" s="7" t="s">
        <v>2053</v>
      </c>
      <c r="C20" s="7" t="s">
        <v>2054</v>
      </c>
      <c r="D20" s="7" t="s">
        <v>2055</v>
      </c>
      <c r="E20" s="7" t="s">
        <v>2056</v>
      </c>
      <c r="F20" s="7" t="s">
        <v>2057</v>
      </c>
      <c r="G20" s="7" t="s">
        <v>2058</v>
      </c>
      <c r="H20" s="7" t="s">
        <v>1960</v>
      </c>
    </row>
    <row r="21" spans="1:8" ht="25.5" customHeight="1" x14ac:dyDescent="0.3">
      <c r="A21" s="10" t="s">
        <v>2059</v>
      </c>
      <c r="B21" s="10" t="s">
        <v>68</v>
      </c>
      <c r="C21" s="10" t="s">
        <v>2060</v>
      </c>
      <c r="D21" s="10" t="s">
        <v>2061</v>
      </c>
      <c r="E21" s="10" t="s">
        <v>453</v>
      </c>
      <c r="F21" s="10" t="s">
        <v>2062</v>
      </c>
      <c r="G21" s="10"/>
      <c r="H21" s="10" t="s">
        <v>1993</v>
      </c>
    </row>
    <row r="22" spans="1:8" ht="78.75" customHeight="1" x14ac:dyDescent="0.3">
      <c r="A22" s="7" t="s">
        <v>2063</v>
      </c>
      <c r="B22" s="7" t="s">
        <v>83</v>
      </c>
      <c r="C22" s="7" t="s">
        <v>2064</v>
      </c>
      <c r="D22" s="7" t="s">
        <v>2065</v>
      </c>
      <c r="E22" s="7" t="s">
        <v>1049</v>
      </c>
      <c r="F22" s="7" t="s">
        <v>2066</v>
      </c>
      <c r="G22" s="7" t="s">
        <v>2067</v>
      </c>
      <c r="H22" s="7" t="s">
        <v>1960</v>
      </c>
    </row>
    <row r="23" spans="1:8" ht="51.75" customHeight="1" x14ac:dyDescent="0.3">
      <c r="A23" s="10" t="s">
        <v>2068</v>
      </c>
      <c r="B23" s="10" t="s">
        <v>2069</v>
      </c>
      <c r="C23" s="10" t="s">
        <v>2070</v>
      </c>
      <c r="D23" s="10" t="s">
        <v>2071</v>
      </c>
      <c r="E23" s="10" t="s">
        <v>2072</v>
      </c>
      <c r="F23" s="10" t="s">
        <v>2073</v>
      </c>
      <c r="G23" s="10"/>
      <c r="H23" s="10" t="s">
        <v>1993</v>
      </c>
    </row>
    <row r="24" spans="1:8" ht="37.5" customHeight="1" x14ac:dyDescent="0.3">
      <c r="A24" s="7" t="s">
        <v>2074</v>
      </c>
      <c r="B24" s="7" t="s">
        <v>2069</v>
      </c>
      <c r="C24" s="7" t="s">
        <v>2075</v>
      </c>
      <c r="D24" s="7" t="s">
        <v>2076</v>
      </c>
      <c r="E24" s="7" t="s">
        <v>748</v>
      </c>
      <c r="F24" s="7" t="s">
        <v>2077</v>
      </c>
      <c r="G24" s="7"/>
      <c r="H24" s="7" t="s">
        <v>1993</v>
      </c>
    </row>
    <row r="25" spans="1:8" ht="216" customHeight="1" x14ac:dyDescent="0.3">
      <c r="A25" s="10" t="s">
        <v>2078</v>
      </c>
      <c r="B25" s="10" t="s">
        <v>1995</v>
      </c>
      <c r="C25" s="10" t="s">
        <v>2079</v>
      </c>
      <c r="D25" s="10" t="s">
        <v>2080</v>
      </c>
      <c r="E25" s="10" t="s">
        <v>2081</v>
      </c>
      <c r="F25" s="10" t="s">
        <v>2082</v>
      </c>
      <c r="G25" s="10" t="s">
        <v>2083</v>
      </c>
      <c r="H25" s="10" t="s">
        <v>1993</v>
      </c>
    </row>
    <row r="26" spans="1:8" ht="93" customHeight="1" x14ac:dyDescent="0.3">
      <c r="A26" s="7" t="s">
        <v>2084</v>
      </c>
      <c r="B26" s="7" t="s">
        <v>2085</v>
      </c>
      <c r="C26" s="7" t="s">
        <v>2086</v>
      </c>
      <c r="D26" s="7" t="s">
        <v>1957</v>
      </c>
      <c r="E26" s="7" t="s">
        <v>261</v>
      </c>
      <c r="F26" s="7" t="s">
        <v>2087</v>
      </c>
      <c r="G26" s="7" t="s">
        <v>2088</v>
      </c>
      <c r="H26" s="7" t="s">
        <v>1960</v>
      </c>
    </row>
    <row r="27" spans="1:8" ht="133.5" customHeight="1" x14ac:dyDescent="0.3">
      <c r="A27" s="10" t="s">
        <v>2089</v>
      </c>
      <c r="B27" s="10" t="s">
        <v>2085</v>
      </c>
      <c r="C27" s="10" t="s">
        <v>2090</v>
      </c>
      <c r="D27" s="10" t="s">
        <v>2091</v>
      </c>
      <c r="E27" s="10" t="s">
        <v>2092</v>
      </c>
      <c r="F27" s="10" t="s">
        <v>2093</v>
      </c>
      <c r="G27" s="10" t="s">
        <v>2094</v>
      </c>
      <c r="H27" s="10" t="s">
        <v>1960</v>
      </c>
    </row>
    <row r="28" spans="1:8" ht="66" customHeight="1" x14ac:dyDescent="0.3">
      <c r="A28" s="7" t="s">
        <v>2095</v>
      </c>
      <c r="B28" s="7" t="s">
        <v>2096</v>
      </c>
      <c r="C28" s="7" t="s">
        <v>2097</v>
      </c>
      <c r="D28" s="7" t="s">
        <v>2098</v>
      </c>
      <c r="E28" s="7" t="s">
        <v>2099</v>
      </c>
      <c r="F28" s="7" t="s">
        <v>2100</v>
      </c>
      <c r="G28" s="7" t="s">
        <v>2101</v>
      </c>
      <c r="H28" s="7" t="s">
        <v>1993</v>
      </c>
    </row>
    <row r="29" spans="1:8" ht="51.75" customHeight="1" x14ac:dyDescent="0.3">
      <c r="A29" s="10" t="s">
        <v>2102</v>
      </c>
      <c r="B29" s="10" t="s">
        <v>2042</v>
      </c>
      <c r="C29" s="10" t="s">
        <v>2103</v>
      </c>
      <c r="D29" s="10" t="s">
        <v>2104</v>
      </c>
      <c r="E29" s="10" t="s">
        <v>2105</v>
      </c>
      <c r="F29" s="10" t="s">
        <v>2106</v>
      </c>
      <c r="G29" s="10"/>
      <c r="H29" s="10" t="s">
        <v>1993</v>
      </c>
    </row>
    <row r="30" spans="1:8" ht="51.75" customHeight="1" x14ac:dyDescent="0.3">
      <c r="A30" s="7" t="s">
        <v>2107</v>
      </c>
      <c r="B30" s="7" t="s">
        <v>2042</v>
      </c>
      <c r="C30" s="7" t="s">
        <v>2108</v>
      </c>
      <c r="D30" s="7" t="s">
        <v>2109</v>
      </c>
      <c r="E30" s="7" t="s">
        <v>1325</v>
      </c>
      <c r="F30" s="7" t="s">
        <v>2110</v>
      </c>
      <c r="G30" s="7" t="s">
        <v>2111</v>
      </c>
      <c r="H30" s="7" t="s">
        <v>1993</v>
      </c>
    </row>
    <row r="31" spans="1:8" ht="37.5" customHeight="1" x14ac:dyDescent="0.3">
      <c r="A31" s="10" t="s">
        <v>2112</v>
      </c>
      <c r="B31" s="10" t="s">
        <v>2113</v>
      </c>
      <c r="C31" s="10" t="s">
        <v>2114</v>
      </c>
      <c r="D31" s="10" t="s">
        <v>2115</v>
      </c>
      <c r="E31" s="10" t="s">
        <v>1594</v>
      </c>
      <c r="F31" s="10" t="s">
        <v>2116</v>
      </c>
      <c r="G31" s="10"/>
      <c r="H31" s="10" t="s">
        <v>1993</v>
      </c>
    </row>
    <row r="32" spans="1:8" ht="37.5" customHeight="1" x14ac:dyDescent="0.3">
      <c r="A32" s="7" t="s">
        <v>2117</v>
      </c>
      <c r="B32" s="7" t="s">
        <v>2113</v>
      </c>
      <c r="C32" s="7" t="s">
        <v>2118</v>
      </c>
      <c r="D32" s="7" t="s">
        <v>672</v>
      </c>
      <c r="E32" s="7" t="s">
        <v>1559</v>
      </c>
      <c r="F32" s="7" t="s">
        <v>2119</v>
      </c>
      <c r="G32" s="7"/>
      <c r="H32" s="7" t="s">
        <v>1993</v>
      </c>
    </row>
    <row r="33" spans="1:8" ht="37.5" customHeight="1" x14ac:dyDescent="0.3">
      <c r="A33" s="10" t="s">
        <v>2120</v>
      </c>
      <c r="B33" s="10" t="s">
        <v>2042</v>
      </c>
      <c r="C33" s="10" t="s">
        <v>2121</v>
      </c>
      <c r="D33" s="10" t="s">
        <v>2122</v>
      </c>
      <c r="E33" s="10" t="s">
        <v>1360</v>
      </c>
      <c r="F33" s="10" t="s">
        <v>2123</v>
      </c>
      <c r="G33" s="10"/>
      <c r="H33" s="10" t="s">
        <v>1993</v>
      </c>
    </row>
    <row r="34" spans="1:8" ht="25.5" customHeight="1" x14ac:dyDescent="0.3">
      <c r="A34" s="7" t="s">
        <v>2124</v>
      </c>
      <c r="B34" s="7" t="s">
        <v>2042</v>
      </c>
      <c r="C34" s="7" t="s">
        <v>2125</v>
      </c>
      <c r="D34" s="7" t="s">
        <v>2126</v>
      </c>
      <c r="E34" s="7" t="s">
        <v>1331</v>
      </c>
      <c r="F34" s="7" t="s">
        <v>2127</v>
      </c>
      <c r="G34" s="7"/>
      <c r="H34" s="7" t="s">
        <v>1993</v>
      </c>
    </row>
    <row r="35" spans="1:8" ht="37.5" customHeight="1" x14ac:dyDescent="0.3">
      <c r="A35" s="10" t="s">
        <v>2128</v>
      </c>
      <c r="B35" s="10" t="s">
        <v>2113</v>
      </c>
      <c r="C35" s="10" t="s">
        <v>2129</v>
      </c>
      <c r="D35" s="10" t="s">
        <v>2130</v>
      </c>
      <c r="E35" s="10" t="s">
        <v>1633</v>
      </c>
      <c r="F35" s="10" t="s">
        <v>2131</v>
      </c>
      <c r="G35" s="10"/>
      <c r="H35" s="10" t="s">
        <v>1993</v>
      </c>
    </row>
    <row r="36" spans="1:8" ht="51.75" customHeight="1" x14ac:dyDescent="0.3">
      <c r="A36" s="7" t="s">
        <v>2132</v>
      </c>
      <c r="B36" s="7" t="s">
        <v>2085</v>
      </c>
      <c r="C36" s="7" t="s">
        <v>2133</v>
      </c>
      <c r="D36" s="7" t="s">
        <v>2134</v>
      </c>
      <c r="E36" s="7" t="s">
        <v>313</v>
      </c>
      <c r="F36" s="7" t="s">
        <v>2135</v>
      </c>
      <c r="G36" s="7"/>
      <c r="H36" s="7" t="s">
        <v>1993</v>
      </c>
    </row>
  </sheetData>
  <autoFilter ref="A1:H36" xr:uid="{00000000-0009-0000-0000-000007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8"/>
  <sheetViews>
    <sheetView topLeftCell="A37" zoomScale="90" zoomScaleNormal="90" workbookViewId="0">
      <selection sqref="A1:A1048576"/>
    </sheetView>
  </sheetViews>
  <sheetFormatPr defaultColWidth="8.6640625" defaultRowHeight="14.4" x14ac:dyDescent="0.3"/>
  <cols>
    <col min="1" max="1" width="16.77734375" customWidth="1"/>
    <col min="2" max="2" width="80" customWidth="1"/>
    <col min="3" max="4" width="60" customWidth="1"/>
  </cols>
  <sheetData>
    <row r="1" spans="1:4" ht="48.75" customHeight="1" x14ac:dyDescent="0.3">
      <c r="A1" s="4" t="s">
        <v>2136</v>
      </c>
    </row>
    <row r="2" spans="1:4" ht="25.5" customHeight="1" x14ac:dyDescent="0.3">
      <c r="A2" s="9" t="s">
        <v>2137</v>
      </c>
      <c r="B2" s="9" t="s">
        <v>2138</v>
      </c>
      <c r="C2" s="9" t="s">
        <v>2139</v>
      </c>
    </row>
    <row r="3" spans="1:4" ht="51.75" customHeight="1" x14ac:dyDescent="0.3">
      <c r="A3" s="7" t="s">
        <v>2140</v>
      </c>
      <c r="B3" s="7" t="s">
        <v>2141</v>
      </c>
      <c r="C3" s="7" t="s">
        <v>2142</v>
      </c>
    </row>
    <row r="4" spans="1:4" ht="51.75" customHeight="1" x14ac:dyDescent="0.3">
      <c r="A4" s="7" t="s">
        <v>2143</v>
      </c>
      <c r="B4" s="7" t="s">
        <v>2144</v>
      </c>
      <c r="C4" s="7" t="s">
        <v>2145</v>
      </c>
    </row>
    <row r="5" spans="1:4" ht="37.5" customHeight="1" x14ac:dyDescent="0.3">
      <c r="A5" s="7" t="s">
        <v>2146</v>
      </c>
      <c r="B5" s="7" t="s">
        <v>2147</v>
      </c>
      <c r="C5" s="7" t="s">
        <v>2148</v>
      </c>
    </row>
    <row r="6" spans="1:4" ht="37.5" customHeight="1" x14ac:dyDescent="0.3">
      <c r="A6" s="7" t="s">
        <v>2149</v>
      </c>
      <c r="B6" s="7" t="s">
        <v>2150</v>
      </c>
      <c r="C6" s="7" t="s">
        <v>2151</v>
      </c>
    </row>
    <row r="7" spans="1:4" ht="25.5" customHeight="1" x14ac:dyDescent="0.3">
      <c r="A7" s="7" t="s">
        <v>2152</v>
      </c>
      <c r="B7" s="7" t="s">
        <v>2153</v>
      </c>
      <c r="C7" s="7" t="s">
        <v>2154</v>
      </c>
    </row>
    <row r="8" spans="1:4" ht="37.5" customHeight="1" x14ac:dyDescent="0.3">
      <c r="A8" s="7" t="s">
        <v>2155</v>
      </c>
      <c r="B8" s="7" t="s">
        <v>2156</v>
      </c>
      <c r="C8" s="7" t="s">
        <v>2157</v>
      </c>
    </row>
    <row r="9" spans="1:4" ht="66" customHeight="1" x14ac:dyDescent="0.3">
      <c r="A9" s="7" t="s">
        <v>2158</v>
      </c>
      <c r="B9" s="7" t="s">
        <v>2159</v>
      </c>
      <c r="C9" s="7" t="s">
        <v>2160</v>
      </c>
    </row>
    <row r="10" spans="1:4" ht="37.5" customHeight="1" x14ac:dyDescent="0.3">
      <c r="A10" s="7" t="s">
        <v>2161</v>
      </c>
      <c r="B10" s="7" t="s">
        <v>2162</v>
      </c>
      <c r="C10" s="7" t="s">
        <v>2163</v>
      </c>
    </row>
    <row r="11" spans="1:4" ht="37.5" customHeight="1" x14ac:dyDescent="0.3">
      <c r="A11" s="7" t="s">
        <v>2164</v>
      </c>
      <c r="B11" s="7" t="s">
        <v>2165</v>
      </c>
      <c r="C11" s="7" t="s">
        <v>2166</v>
      </c>
    </row>
    <row r="12" spans="1:4" ht="25.5" customHeight="1" x14ac:dyDescent="0.3"/>
    <row r="13" spans="1:4" ht="30" customHeight="1" x14ac:dyDescent="0.3">
      <c r="A13" s="4" t="s">
        <v>2167</v>
      </c>
    </row>
    <row r="14" spans="1:4" ht="37.5" customHeight="1" x14ac:dyDescent="0.3">
      <c r="A14" s="9" t="s">
        <v>2137</v>
      </c>
      <c r="B14" s="9" t="s">
        <v>2168</v>
      </c>
      <c r="C14" s="9" t="s">
        <v>2169</v>
      </c>
      <c r="D14" s="9" t="s">
        <v>2170</v>
      </c>
    </row>
    <row r="15" spans="1:4" ht="133.5" customHeight="1" x14ac:dyDescent="0.3">
      <c r="A15" s="7" t="s">
        <v>2171</v>
      </c>
      <c r="B15" s="7" t="s">
        <v>2172</v>
      </c>
      <c r="C15" s="7" t="s">
        <v>2173</v>
      </c>
      <c r="D15" s="7" t="s">
        <v>2174</v>
      </c>
    </row>
    <row r="16" spans="1:4" ht="174.75" customHeight="1" x14ac:dyDescent="0.3">
      <c r="A16" s="7" t="s">
        <v>2175</v>
      </c>
      <c r="B16" s="7" t="s">
        <v>2176</v>
      </c>
      <c r="C16" s="7" t="s">
        <v>2177</v>
      </c>
      <c r="D16" s="7" t="s">
        <v>2178</v>
      </c>
    </row>
    <row r="17" spans="1:4" ht="105.75" customHeight="1" x14ac:dyDescent="0.3">
      <c r="A17" s="7" t="s">
        <v>2179</v>
      </c>
      <c r="B17" s="7" t="s">
        <v>2180</v>
      </c>
      <c r="C17" s="7" t="s">
        <v>2177</v>
      </c>
      <c r="D17" s="7" t="s">
        <v>2181</v>
      </c>
    </row>
    <row r="18" spans="1:4" ht="147" customHeight="1" x14ac:dyDescent="0.3">
      <c r="A18" s="7" t="s">
        <v>2182</v>
      </c>
      <c r="B18" s="7" t="s">
        <v>2183</v>
      </c>
      <c r="C18" s="7" t="s">
        <v>2177</v>
      </c>
      <c r="D18" s="7" t="s">
        <v>2184</v>
      </c>
    </row>
    <row r="19" spans="1:4" ht="51.75" customHeight="1" x14ac:dyDescent="0.3">
      <c r="A19" s="7" t="s">
        <v>2185</v>
      </c>
      <c r="B19" s="7" t="s">
        <v>2186</v>
      </c>
      <c r="C19" s="7" t="s">
        <v>2187</v>
      </c>
      <c r="D19" s="7" t="s">
        <v>2188</v>
      </c>
    </row>
    <row r="20" spans="1:4" ht="187.5" customHeight="1" x14ac:dyDescent="0.3">
      <c r="A20" s="7" t="s">
        <v>2189</v>
      </c>
      <c r="B20" s="7" t="s">
        <v>2190</v>
      </c>
      <c r="C20" s="7" t="s">
        <v>2177</v>
      </c>
      <c r="D20" s="7" t="s">
        <v>2191</v>
      </c>
    </row>
    <row r="21" spans="1:4" ht="174.75" customHeight="1" x14ac:dyDescent="0.3">
      <c r="A21" s="7" t="s">
        <v>2192</v>
      </c>
      <c r="B21" s="7" t="s">
        <v>2193</v>
      </c>
      <c r="C21" s="7" t="s">
        <v>2177</v>
      </c>
      <c r="D21" s="7" t="s">
        <v>2194</v>
      </c>
    </row>
    <row r="22" spans="1:4" ht="147" customHeight="1" x14ac:dyDescent="0.3">
      <c r="A22" s="7" t="s">
        <v>2195</v>
      </c>
      <c r="B22" s="7" t="s">
        <v>2196</v>
      </c>
      <c r="C22" s="7" t="s">
        <v>2177</v>
      </c>
      <c r="D22" s="7" t="s">
        <v>2197</v>
      </c>
    </row>
    <row r="23" spans="1:4" ht="133.5" customHeight="1" x14ac:dyDescent="0.3">
      <c r="A23" s="7" t="s">
        <v>2198</v>
      </c>
      <c r="B23" s="7" t="s">
        <v>2199</v>
      </c>
      <c r="C23" s="7" t="s">
        <v>2177</v>
      </c>
      <c r="D23" s="7" t="s">
        <v>2200</v>
      </c>
    </row>
    <row r="24" spans="1:4" ht="160.5" customHeight="1" x14ac:dyDescent="0.3">
      <c r="A24" s="7" t="s">
        <v>2201</v>
      </c>
      <c r="B24" s="7" t="s">
        <v>2202</v>
      </c>
      <c r="C24" s="7" t="s">
        <v>2187</v>
      </c>
      <c r="D24" s="7" t="s">
        <v>2203</v>
      </c>
    </row>
    <row r="25" spans="1:4" ht="216" customHeight="1" x14ac:dyDescent="0.3">
      <c r="A25" s="7" t="s">
        <v>2204</v>
      </c>
      <c r="B25" s="7" t="s">
        <v>2205</v>
      </c>
      <c r="C25" s="7" t="s">
        <v>2177</v>
      </c>
      <c r="D25" s="7" t="s">
        <v>2206</v>
      </c>
    </row>
    <row r="26" spans="1:4" ht="105.75" customHeight="1" x14ac:dyDescent="0.3">
      <c r="A26" s="7" t="s">
        <v>2207</v>
      </c>
      <c r="B26" s="7" t="s">
        <v>2208</v>
      </c>
      <c r="C26" s="7" t="s">
        <v>2187</v>
      </c>
      <c r="D26" s="7" t="s">
        <v>2209</v>
      </c>
    </row>
    <row r="27" spans="1:4" ht="408.75" customHeight="1" x14ac:dyDescent="0.3">
      <c r="A27" s="7" t="s">
        <v>2210</v>
      </c>
      <c r="B27" s="7" t="s">
        <v>2211</v>
      </c>
      <c r="C27" s="7" t="s">
        <v>2177</v>
      </c>
      <c r="D27" s="7" t="s">
        <v>2212</v>
      </c>
    </row>
    <row r="28" spans="1:4" ht="255.75" customHeight="1" x14ac:dyDescent="0.3">
      <c r="A28" s="7" t="s">
        <v>2213</v>
      </c>
      <c r="B28" s="7" t="s">
        <v>2214</v>
      </c>
      <c r="C28" s="7" t="s">
        <v>2187</v>
      </c>
      <c r="D28" s="7" t="s">
        <v>2215</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8"/>
  <sheetViews>
    <sheetView zoomScale="90" zoomScaleNormal="90" workbookViewId="0">
      <pane ySplit="1" topLeftCell="A8" activePane="bottomLeft" state="frozen"/>
      <selection pane="bottomLeft" activeCell="A2" sqref="A2:XFD2"/>
    </sheetView>
  </sheetViews>
  <sheetFormatPr defaultColWidth="8.6640625" defaultRowHeight="14.4" x14ac:dyDescent="0.3"/>
  <cols>
    <col min="1" max="1" width="11" customWidth="1"/>
    <col min="2" max="2" width="40" customWidth="1"/>
    <col min="3" max="3" width="20" customWidth="1"/>
    <col min="4" max="4" width="12" customWidth="1"/>
    <col min="5" max="5" width="11" customWidth="1"/>
    <col min="6" max="6" width="28" customWidth="1"/>
    <col min="7" max="7" width="35" customWidth="1"/>
    <col min="8" max="8" width="45" customWidth="1"/>
    <col min="9" max="10" width="40" customWidth="1"/>
    <col min="11" max="12" width="16" customWidth="1"/>
    <col min="13" max="13" width="11" customWidth="1"/>
  </cols>
  <sheetData>
    <row r="1" spans="1:13" ht="37.5" customHeight="1" x14ac:dyDescent="0.3">
      <c r="A1" s="9" t="s">
        <v>2216</v>
      </c>
      <c r="B1" s="9" t="s">
        <v>2217</v>
      </c>
      <c r="C1" s="9" t="s">
        <v>2218</v>
      </c>
      <c r="D1" s="9" t="s">
        <v>2219</v>
      </c>
      <c r="E1" s="9" t="s">
        <v>48</v>
      </c>
      <c r="F1" s="9" t="s">
        <v>2220</v>
      </c>
      <c r="G1" s="9" t="s">
        <v>210</v>
      </c>
      <c r="H1" s="9" t="s">
        <v>2221</v>
      </c>
      <c r="I1" s="9" t="s">
        <v>215</v>
      </c>
      <c r="J1" s="9" t="s">
        <v>213</v>
      </c>
      <c r="K1" s="9" t="s">
        <v>2222</v>
      </c>
      <c r="L1" s="9" t="s">
        <v>2223</v>
      </c>
      <c r="M1" s="9" t="s">
        <v>42</v>
      </c>
    </row>
    <row r="2" spans="1:13" ht="366" customHeight="1" x14ac:dyDescent="0.3">
      <c r="A2" s="7" t="s">
        <v>2224</v>
      </c>
      <c r="B2" s="7" t="s">
        <v>2225</v>
      </c>
      <c r="C2" s="7" t="s">
        <v>2226</v>
      </c>
      <c r="D2" s="7" t="s">
        <v>2227</v>
      </c>
      <c r="E2" s="7" t="s">
        <v>142</v>
      </c>
      <c r="F2" s="7" t="s">
        <v>2228</v>
      </c>
      <c r="G2" s="7" t="s">
        <v>2229</v>
      </c>
      <c r="H2" s="7" t="s">
        <v>2230</v>
      </c>
      <c r="I2" s="7" t="s">
        <v>2231</v>
      </c>
      <c r="J2" s="7" t="s">
        <v>2232</v>
      </c>
      <c r="K2" s="7" t="s">
        <v>2233</v>
      </c>
      <c r="L2" s="7" t="s">
        <v>2234</v>
      </c>
      <c r="M2" s="7" t="s">
        <v>2235</v>
      </c>
    </row>
    <row r="3" spans="1:13" ht="228.75" customHeight="1" x14ac:dyDescent="0.3">
      <c r="A3" s="7" t="s">
        <v>2236</v>
      </c>
      <c r="B3" s="7" t="s">
        <v>2237</v>
      </c>
      <c r="C3" s="7" t="s">
        <v>1589</v>
      </c>
      <c r="D3" s="7" t="s">
        <v>2238</v>
      </c>
      <c r="E3" s="7" t="s">
        <v>155</v>
      </c>
      <c r="F3" s="7" t="s">
        <v>2239</v>
      </c>
      <c r="G3" s="7" t="s">
        <v>2240</v>
      </c>
      <c r="H3" s="7" t="s">
        <v>2241</v>
      </c>
      <c r="I3" s="7" t="s">
        <v>2242</v>
      </c>
      <c r="J3" s="7" t="s">
        <v>2243</v>
      </c>
      <c r="K3" s="7" t="s">
        <v>1587</v>
      </c>
      <c r="L3" s="7" t="s">
        <v>2244</v>
      </c>
      <c r="M3" s="7" t="s">
        <v>2235</v>
      </c>
    </row>
    <row r="4" spans="1:13" ht="120" customHeight="1" x14ac:dyDescent="0.3">
      <c r="A4" s="7" t="s">
        <v>2245</v>
      </c>
      <c r="B4" s="7" t="s">
        <v>2246</v>
      </c>
      <c r="C4" s="7" t="s">
        <v>1677</v>
      </c>
      <c r="D4" s="7" t="s">
        <v>2238</v>
      </c>
      <c r="E4" s="7" t="s">
        <v>256</v>
      </c>
      <c r="F4" s="7" t="s">
        <v>2247</v>
      </c>
      <c r="G4" s="7" t="s">
        <v>2248</v>
      </c>
      <c r="H4" s="7" t="s">
        <v>2249</v>
      </c>
      <c r="I4" s="7" t="s">
        <v>2250</v>
      </c>
      <c r="J4" s="7" t="s">
        <v>2251</v>
      </c>
      <c r="K4" s="7" t="s">
        <v>1700</v>
      </c>
      <c r="L4" s="7" t="s">
        <v>2252</v>
      </c>
      <c r="M4" s="7" t="s">
        <v>2235</v>
      </c>
    </row>
    <row r="5" spans="1:13" ht="283.5" customHeight="1" x14ac:dyDescent="0.3">
      <c r="A5" s="7" t="s">
        <v>2253</v>
      </c>
      <c r="B5" s="7" t="s">
        <v>2254</v>
      </c>
      <c r="C5" s="7" t="s">
        <v>2255</v>
      </c>
      <c r="D5" s="7" t="s">
        <v>2238</v>
      </c>
      <c r="E5" s="7" t="s">
        <v>155</v>
      </c>
      <c r="F5" s="7" t="s">
        <v>2256</v>
      </c>
      <c r="G5" s="7" t="s">
        <v>2257</v>
      </c>
      <c r="H5" s="7" t="s">
        <v>2258</v>
      </c>
      <c r="I5" s="7" t="s">
        <v>2259</v>
      </c>
      <c r="J5" s="7" t="s">
        <v>2260</v>
      </c>
      <c r="K5" s="7" t="s">
        <v>2261</v>
      </c>
      <c r="L5" s="7" t="s">
        <v>2262</v>
      </c>
      <c r="M5" s="7" t="s">
        <v>2235</v>
      </c>
    </row>
    <row r="6" spans="1:13" ht="243" customHeight="1" x14ac:dyDescent="0.3">
      <c r="A6" s="7" t="s">
        <v>2263</v>
      </c>
      <c r="B6" s="7" t="s">
        <v>2264</v>
      </c>
      <c r="C6" s="7" t="s">
        <v>2265</v>
      </c>
      <c r="D6" s="7" t="s">
        <v>2266</v>
      </c>
      <c r="E6" s="7" t="s">
        <v>256</v>
      </c>
      <c r="F6" s="7" t="s">
        <v>2256</v>
      </c>
      <c r="G6" s="7" t="s">
        <v>258</v>
      </c>
      <c r="H6" s="7" t="s">
        <v>2267</v>
      </c>
      <c r="I6" s="7" t="s">
        <v>2268</v>
      </c>
      <c r="J6" s="7" t="s">
        <v>2269</v>
      </c>
      <c r="K6" s="7" t="s">
        <v>2270</v>
      </c>
      <c r="L6" s="7" t="s">
        <v>2271</v>
      </c>
      <c r="M6" s="7" t="s">
        <v>2235</v>
      </c>
    </row>
    <row r="7" spans="1:13" ht="147" customHeight="1" x14ac:dyDescent="0.3">
      <c r="A7" s="7" t="s">
        <v>2272</v>
      </c>
      <c r="B7" s="7" t="s">
        <v>2273</v>
      </c>
      <c r="C7" s="7" t="s">
        <v>2274</v>
      </c>
      <c r="D7" s="7" t="s">
        <v>2238</v>
      </c>
      <c r="E7" s="7" t="s">
        <v>155</v>
      </c>
      <c r="F7" s="7" t="s">
        <v>2256</v>
      </c>
      <c r="G7" s="7" t="s">
        <v>2275</v>
      </c>
      <c r="H7" s="7" t="s">
        <v>2276</v>
      </c>
      <c r="I7" s="7" t="s">
        <v>2277</v>
      </c>
      <c r="J7" s="7" t="s">
        <v>2278</v>
      </c>
      <c r="K7" s="7" t="s">
        <v>2279</v>
      </c>
      <c r="L7" s="7" t="s">
        <v>2271</v>
      </c>
      <c r="M7" s="7" t="s">
        <v>2235</v>
      </c>
    </row>
    <row r="8" spans="1:13" ht="243" customHeight="1" x14ac:dyDescent="0.3">
      <c r="A8" s="7" t="s">
        <v>2280</v>
      </c>
      <c r="B8" s="7" t="s">
        <v>2281</v>
      </c>
      <c r="C8" s="7" t="s">
        <v>2282</v>
      </c>
      <c r="D8" s="7" t="s">
        <v>2227</v>
      </c>
      <c r="E8" s="7" t="s">
        <v>147</v>
      </c>
      <c r="F8" s="7" t="s">
        <v>2283</v>
      </c>
      <c r="G8" s="7" t="s">
        <v>2284</v>
      </c>
      <c r="H8" s="7" t="s">
        <v>2285</v>
      </c>
      <c r="I8" s="7" t="s">
        <v>2286</v>
      </c>
      <c r="J8" s="7" t="s">
        <v>2287</v>
      </c>
      <c r="K8" s="7" t="s">
        <v>2288</v>
      </c>
      <c r="L8" s="7" t="s">
        <v>2289</v>
      </c>
      <c r="M8" s="7" t="s">
        <v>2235</v>
      </c>
    </row>
  </sheetData>
  <dataValidations count="2">
    <dataValidation type="list" sqref="D2:D199" xr:uid="{00000000-0002-0000-0900-000000000000}">
      <formula1>"Critical,Major,Minor,Trivial"</formula1>
      <formula2>0</formula2>
    </dataValidation>
    <dataValidation type="list" sqref="M2:M199" xr:uid="{00000000-0002-0000-0900-000001000000}">
      <formula1>"New,Open,Fixed,Closed,Rejected"</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4"/>
  <sheetViews>
    <sheetView topLeftCell="A12" zoomScaleNormal="100" workbookViewId="0">
      <selection activeCell="B1" sqref="B1"/>
    </sheetView>
  </sheetViews>
  <sheetFormatPr defaultColWidth="8.6640625" defaultRowHeight="14.4" x14ac:dyDescent="0.3"/>
  <cols>
    <col min="1" max="1" width="40.77734375" customWidth="1"/>
    <col min="2" max="2" width="110" customWidth="1"/>
  </cols>
  <sheetData>
    <row r="1" spans="1:2" ht="67.5" customHeight="1" x14ac:dyDescent="0.3">
      <c r="A1" s="4" t="s">
        <v>2290</v>
      </c>
    </row>
    <row r="2" spans="1:2" ht="25.5" customHeight="1" x14ac:dyDescent="0.3"/>
    <row r="3" spans="1:2" ht="37.5" customHeight="1" x14ac:dyDescent="0.3">
      <c r="A3" s="22" t="s">
        <v>2291</v>
      </c>
      <c r="B3" s="23" t="s">
        <v>2292</v>
      </c>
    </row>
    <row r="4" spans="1:2" ht="51.75" customHeight="1" x14ac:dyDescent="0.3">
      <c r="A4" s="22" t="s">
        <v>2293</v>
      </c>
      <c r="B4" s="23" t="s">
        <v>2294</v>
      </c>
    </row>
    <row r="5" spans="1:2" ht="51.75" customHeight="1" x14ac:dyDescent="0.3">
      <c r="A5" s="22" t="s">
        <v>2295</v>
      </c>
      <c r="B5" s="23" t="s">
        <v>2296</v>
      </c>
    </row>
    <row r="6" spans="1:2" ht="37.5" customHeight="1" x14ac:dyDescent="0.3">
      <c r="A6" s="22" t="s">
        <v>2297</v>
      </c>
      <c r="B6" s="23" t="s">
        <v>2298</v>
      </c>
    </row>
    <row r="7" spans="1:2" ht="93" customHeight="1" x14ac:dyDescent="0.3">
      <c r="A7" s="22" t="s">
        <v>2299</v>
      </c>
      <c r="B7" s="23" t="s">
        <v>2300</v>
      </c>
    </row>
    <row r="8" spans="1:2" ht="78.75" customHeight="1" x14ac:dyDescent="0.3">
      <c r="A8" s="22" t="s">
        <v>2301</v>
      </c>
      <c r="B8" s="23" t="s">
        <v>2302</v>
      </c>
    </row>
    <row r="9" spans="1:2" ht="51.75" customHeight="1" x14ac:dyDescent="0.3">
      <c r="A9" s="22" t="s">
        <v>2303</v>
      </c>
      <c r="B9" s="23" t="s">
        <v>2304</v>
      </c>
    </row>
    <row r="10" spans="1:2" ht="105.75" customHeight="1" x14ac:dyDescent="0.3">
      <c r="A10" s="22" t="s">
        <v>1933</v>
      </c>
      <c r="B10" s="23" t="s">
        <v>2305</v>
      </c>
    </row>
    <row r="11" spans="1:2" ht="37.5" customHeight="1" x14ac:dyDescent="0.3">
      <c r="A11" s="22" t="s">
        <v>2306</v>
      </c>
      <c r="B11" s="23" t="s">
        <v>2307</v>
      </c>
    </row>
    <row r="12" spans="1:2" ht="51.75" customHeight="1" x14ac:dyDescent="0.3">
      <c r="A12" s="22" t="s">
        <v>2308</v>
      </c>
      <c r="B12" s="23" t="s">
        <v>2309</v>
      </c>
    </row>
    <row r="13" spans="1:2" ht="66" customHeight="1" x14ac:dyDescent="0.3">
      <c r="A13" s="22" t="s">
        <v>2167</v>
      </c>
      <c r="B13" s="23" t="s">
        <v>2310</v>
      </c>
    </row>
    <row r="14" spans="1:2" ht="51.75" customHeight="1" x14ac:dyDescent="0.3">
      <c r="A14" s="22" t="s">
        <v>2311</v>
      </c>
      <c r="B14" s="23" t="s">
        <v>2312</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3"/>
  <sheetViews>
    <sheetView zoomScale="90" zoomScaleNormal="90" workbookViewId="0">
      <pane ySplit="1" topLeftCell="A5" activePane="bottomLeft" state="frozen"/>
      <selection pane="bottomLeft"/>
    </sheetView>
  </sheetViews>
  <sheetFormatPr defaultColWidth="8.6640625" defaultRowHeight="14.4" x14ac:dyDescent="0.3"/>
  <cols>
    <col min="1" max="1" width="12" customWidth="1"/>
    <col min="2" max="2" width="34" customWidth="1"/>
    <col min="3" max="3" width="80" customWidth="1"/>
    <col min="4" max="4" width="14" customWidth="1"/>
    <col min="5" max="5" width="9" customWidth="1"/>
    <col min="6" max="6" width="11" customWidth="1"/>
  </cols>
  <sheetData>
    <row r="1" spans="1:6" ht="37.5" customHeight="1" x14ac:dyDescent="0.3">
      <c r="A1" s="24" t="s">
        <v>136</v>
      </c>
      <c r="B1" s="24" t="s">
        <v>2313</v>
      </c>
      <c r="C1" s="24" t="s">
        <v>57</v>
      </c>
      <c r="D1" s="24" t="s">
        <v>48</v>
      </c>
      <c r="E1" s="24" t="s">
        <v>139</v>
      </c>
      <c r="F1" s="24" t="s">
        <v>2314</v>
      </c>
    </row>
    <row r="2" spans="1:6" ht="51.75" customHeight="1" x14ac:dyDescent="0.3">
      <c r="A2" s="25" t="s">
        <v>2315</v>
      </c>
      <c r="B2" s="23" t="s">
        <v>2316</v>
      </c>
      <c r="C2" s="23" t="s">
        <v>2317</v>
      </c>
      <c r="D2" s="23" t="s">
        <v>142</v>
      </c>
      <c r="E2" s="23">
        <f>COUNTIF('API_Test Cases'!$K:$K,A2)</f>
        <v>9</v>
      </c>
      <c r="F2" s="23">
        <f>COUNTIFS('API_Test Cases'!$K:$K,A2,'API_Test Cases'!$N:$N,"Automated")</f>
        <v>7</v>
      </c>
    </row>
    <row r="3" spans="1:6" ht="51.75" customHeight="1" x14ac:dyDescent="0.3">
      <c r="A3" s="25" t="s">
        <v>2318</v>
      </c>
      <c r="B3" s="23" t="s">
        <v>2319</v>
      </c>
      <c r="C3" s="23" t="s">
        <v>2320</v>
      </c>
      <c r="D3" s="23" t="s">
        <v>142</v>
      </c>
      <c r="E3" s="23">
        <f>COUNTIF('API_Test Cases'!$K:$K,A3)</f>
        <v>30</v>
      </c>
      <c r="F3" s="23">
        <f>COUNTIFS('API_Test Cases'!$K:$K,A3,'API_Test Cases'!$N:$N,"Automated")</f>
        <v>24</v>
      </c>
    </row>
    <row r="4" spans="1:6" ht="51.75" customHeight="1" x14ac:dyDescent="0.3">
      <c r="A4" s="25" t="s">
        <v>2321</v>
      </c>
      <c r="B4" s="23" t="s">
        <v>2322</v>
      </c>
      <c r="C4" s="23" t="s">
        <v>2323</v>
      </c>
      <c r="D4" s="23" t="s">
        <v>147</v>
      </c>
      <c r="E4" s="23">
        <f>COUNTIF('API_Test Cases'!$K:$K,A4)</f>
        <v>19</v>
      </c>
      <c r="F4" s="23">
        <f>COUNTIFS('API_Test Cases'!$K:$K,A4,'API_Test Cases'!$N:$N,"Automated")</f>
        <v>9</v>
      </c>
    </row>
    <row r="5" spans="1:6" ht="37.5" customHeight="1" x14ac:dyDescent="0.3">
      <c r="A5" s="25" t="s">
        <v>2324</v>
      </c>
      <c r="B5" s="23" t="s">
        <v>2325</v>
      </c>
      <c r="C5" s="23" t="s">
        <v>2326</v>
      </c>
      <c r="D5" s="23" t="s">
        <v>147</v>
      </c>
      <c r="E5" s="23">
        <f>COUNTIF('API_Test Cases'!$K:$K,A5)</f>
        <v>7</v>
      </c>
      <c r="F5" s="23">
        <f>COUNTIFS('API_Test Cases'!$K:$K,A5,'API_Test Cases'!$N:$N,"Automated")</f>
        <v>4</v>
      </c>
    </row>
    <row r="6" spans="1:6" ht="66" customHeight="1" x14ac:dyDescent="0.3">
      <c r="A6" s="25" t="s">
        <v>2327</v>
      </c>
      <c r="B6" s="23" t="s">
        <v>2328</v>
      </c>
      <c r="C6" s="23" t="s">
        <v>2329</v>
      </c>
      <c r="D6" s="23" t="s">
        <v>142</v>
      </c>
      <c r="E6" s="23">
        <f>COUNTIF('API_Test Cases'!$K:$K,A6)</f>
        <v>21</v>
      </c>
      <c r="F6" s="23">
        <f>COUNTIFS('API_Test Cases'!$K:$K,A6,'API_Test Cases'!$N:$N,"Automated")</f>
        <v>17</v>
      </c>
    </row>
    <row r="7" spans="1:6" ht="37.5" customHeight="1" x14ac:dyDescent="0.3">
      <c r="A7" s="25" t="s">
        <v>2330</v>
      </c>
      <c r="B7" s="23" t="s">
        <v>2331</v>
      </c>
      <c r="C7" s="23" t="s">
        <v>2332</v>
      </c>
      <c r="D7" s="23" t="s">
        <v>147</v>
      </c>
      <c r="E7" s="23">
        <f>COUNTIF('API_Test Cases'!$K:$K,A7)</f>
        <v>4</v>
      </c>
      <c r="F7" s="23">
        <f>COUNTIFS('API_Test Cases'!$K:$K,A7,'API_Test Cases'!$N:$N,"Automated")</f>
        <v>3</v>
      </c>
    </row>
    <row r="8" spans="1:6" ht="51.75" customHeight="1" x14ac:dyDescent="0.3">
      <c r="A8" s="25" t="s">
        <v>2333</v>
      </c>
      <c r="B8" s="23" t="s">
        <v>2334</v>
      </c>
      <c r="C8" s="23" t="s">
        <v>2335</v>
      </c>
      <c r="D8" s="23" t="s">
        <v>142</v>
      </c>
      <c r="E8" s="23">
        <f>COUNTIF('API_Test Cases'!$K:$K,A8)</f>
        <v>18</v>
      </c>
      <c r="F8" s="23">
        <f>COUNTIFS('API_Test Cases'!$K:$K,A8,'API_Test Cases'!$N:$N,"Automated")</f>
        <v>12</v>
      </c>
    </row>
    <row r="9" spans="1:6" ht="37.5" customHeight="1" x14ac:dyDescent="0.3">
      <c r="A9" s="25" t="s">
        <v>2336</v>
      </c>
      <c r="B9" s="23" t="s">
        <v>2337</v>
      </c>
      <c r="C9" s="23" t="s">
        <v>2338</v>
      </c>
      <c r="D9" s="23" t="s">
        <v>147</v>
      </c>
      <c r="E9" s="23">
        <f>COUNTIF('API_Test Cases'!$K:$K,A9)</f>
        <v>7</v>
      </c>
      <c r="F9" s="23">
        <f>COUNTIFS('API_Test Cases'!$K:$K,A9,'API_Test Cases'!$N:$N,"Automated")</f>
        <v>5</v>
      </c>
    </row>
    <row r="10" spans="1:6" ht="37.5" customHeight="1" x14ac:dyDescent="0.3">
      <c r="A10" s="25" t="s">
        <v>2339</v>
      </c>
      <c r="B10" s="23" t="s">
        <v>2340</v>
      </c>
      <c r="C10" s="23" t="s">
        <v>2341</v>
      </c>
      <c r="D10" s="23" t="s">
        <v>147</v>
      </c>
      <c r="E10" s="23">
        <f>COUNTIF('API_Test Cases'!$K:$K,A10)</f>
        <v>9</v>
      </c>
      <c r="F10" s="23">
        <f>COUNTIFS('API_Test Cases'!$K:$K,A10,'API_Test Cases'!$N:$N,"Automated")</f>
        <v>6</v>
      </c>
    </row>
    <row r="11" spans="1:6" ht="78.75" customHeight="1" x14ac:dyDescent="0.3">
      <c r="A11" s="25" t="s">
        <v>2342</v>
      </c>
      <c r="B11" s="23" t="s">
        <v>2343</v>
      </c>
      <c r="C11" s="23" t="s">
        <v>2344</v>
      </c>
      <c r="D11" s="23" t="s">
        <v>142</v>
      </c>
      <c r="E11" s="23">
        <f>COUNTIF('API_Test Cases'!$K:$K,A11)</f>
        <v>30</v>
      </c>
      <c r="F11" s="23">
        <f>COUNTIFS('API_Test Cases'!$K:$K,A11,'API_Test Cases'!$N:$N,"Automated")</f>
        <v>25</v>
      </c>
    </row>
    <row r="12" spans="1:6" ht="51.75" customHeight="1" x14ac:dyDescent="0.3">
      <c r="A12" s="25" t="s">
        <v>2345</v>
      </c>
      <c r="B12" s="23" t="s">
        <v>2346</v>
      </c>
      <c r="C12" s="23" t="s">
        <v>2347</v>
      </c>
      <c r="D12" s="23" t="s">
        <v>147</v>
      </c>
      <c r="E12" s="23">
        <f>COUNTIF('API_Test Cases'!$K:$K,A12)</f>
        <v>14</v>
      </c>
      <c r="F12" s="23">
        <f>COUNTIFS('API_Test Cases'!$K:$K,A12,'API_Test Cases'!$N:$N,"Automated")</f>
        <v>11</v>
      </c>
    </row>
    <row r="13" spans="1:6" ht="25.5" customHeight="1" x14ac:dyDescent="0.3">
      <c r="A13" s="25" t="s">
        <v>2348</v>
      </c>
      <c r="B13" s="25"/>
      <c r="C13" s="25"/>
      <c r="D13" s="25"/>
      <c r="E13" s="25">
        <f>SUM(E2:E12)</f>
        <v>168</v>
      </c>
      <c r="F13" s="25">
        <f>SUM(F2:F12)</f>
        <v>123</v>
      </c>
    </row>
  </sheetData>
  <autoFilter ref="A1:E1" xr:uid="{00000000-0009-0000-0000-00000B000000}"/>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169"/>
  <sheetViews>
    <sheetView zoomScale="90" zoomScaleNormal="90" workbookViewId="0">
      <pane xSplit="2" ySplit="1" topLeftCell="AG32" activePane="bottomRight" state="frozen"/>
      <selection pane="topRight" activeCell="C1" sqref="C1"/>
      <selection pane="bottomLeft" activeCell="A2" sqref="A2"/>
      <selection pane="bottomRight"/>
    </sheetView>
  </sheetViews>
  <sheetFormatPr defaultColWidth="8.6640625" defaultRowHeight="14.4" x14ac:dyDescent="0.3"/>
  <cols>
    <col min="1" max="1" width="20" customWidth="1"/>
    <col min="2" max="2" width="46" customWidth="1"/>
    <col min="3" max="3" width="24" customWidth="1"/>
    <col min="4" max="4" width="9" customWidth="1"/>
    <col min="5" max="5" width="13" customWidth="1"/>
    <col min="6" max="6" width="16" customWidth="1"/>
    <col min="7" max="7" width="40" customWidth="1"/>
    <col min="8" max="8" width="52" customWidth="1"/>
    <col min="9" max="9" width="12" customWidth="1"/>
    <col min="10" max="10" width="55" customWidth="1"/>
    <col min="11" max="11" width="12" customWidth="1"/>
    <col min="12" max="12" width="45" customWidth="1"/>
    <col min="13" max="13" width="11" customWidth="1"/>
    <col min="14" max="15" width="13" customWidth="1"/>
    <col min="16" max="16" width="18" customWidth="1"/>
    <col min="17" max="17" width="26" customWidth="1"/>
    <col min="18" max="18" width="45" customWidth="1"/>
    <col min="19" max="19" width="13" customWidth="1"/>
    <col min="20" max="20" width="34" customWidth="1"/>
  </cols>
  <sheetData>
    <row r="1" spans="1:20" ht="37.5" customHeight="1" x14ac:dyDescent="0.3">
      <c r="A1" s="24" t="s">
        <v>206</v>
      </c>
      <c r="B1" s="24" t="s">
        <v>207</v>
      </c>
      <c r="C1" s="24" t="s">
        <v>2349</v>
      </c>
      <c r="D1" s="24" t="s">
        <v>2350</v>
      </c>
      <c r="E1" s="24" t="s">
        <v>48</v>
      </c>
      <c r="F1" s="24" t="s">
        <v>209</v>
      </c>
      <c r="G1" s="24" t="s">
        <v>210</v>
      </c>
      <c r="H1" s="24" t="s">
        <v>2351</v>
      </c>
      <c r="I1" s="24" t="s">
        <v>2352</v>
      </c>
      <c r="J1" s="24" t="s">
        <v>2353</v>
      </c>
      <c r="K1" s="24" t="s">
        <v>136</v>
      </c>
      <c r="L1" s="24" t="s">
        <v>2354</v>
      </c>
      <c r="M1" s="24" t="s">
        <v>42</v>
      </c>
      <c r="N1" s="24" t="s">
        <v>44</v>
      </c>
      <c r="O1" s="24" t="s">
        <v>46</v>
      </c>
      <c r="P1" s="24" t="s">
        <v>2355</v>
      </c>
      <c r="Q1" s="24" t="s">
        <v>2356</v>
      </c>
      <c r="R1" s="24" t="s">
        <v>215</v>
      </c>
      <c r="S1" s="24" t="s">
        <v>216</v>
      </c>
      <c r="T1" s="24" t="s">
        <v>2357</v>
      </c>
    </row>
    <row r="2" spans="1:20" ht="51.75" customHeight="1" x14ac:dyDescent="0.3">
      <c r="A2" s="25" t="s">
        <v>2358</v>
      </c>
      <c r="B2" s="23" t="s">
        <v>2359</v>
      </c>
      <c r="C2" s="23" t="s">
        <v>2360</v>
      </c>
      <c r="D2" s="23" t="s">
        <v>2361</v>
      </c>
      <c r="E2" s="23" t="s">
        <v>142</v>
      </c>
      <c r="F2" s="23" t="s">
        <v>236</v>
      </c>
      <c r="G2" s="23" t="s">
        <v>2362</v>
      </c>
      <c r="H2" s="23" t="s">
        <v>2363</v>
      </c>
      <c r="I2" s="23" t="s">
        <v>2364</v>
      </c>
      <c r="J2" s="23" t="s">
        <v>2365</v>
      </c>
      <c r="K2" s="23" t="s">
        <v>2315</v>
      </c>
      <c r="L2" s="23" t="s">
        <v>2366</v>
      </c>
      <c r="M2" s="23" t="s">
        <v>227</v>
      </c>
      <c r="N2" s="23" t="s">
        <v>228</v>
      </c>
      <c r="O2" s="23" t="s">
        <v>229</v>
      </c>
      <c r="P2" s="23" t="s">
        <v>1909</v>
      </c>
      <c r="Q2" s="23" t="s">
        <v>2367</v>
      </c>
      <c r="R2" s="23" t="s">
        <v>2368</v>
      </c>
      <c r="S2" s="23" t="s">
        <v>2369</v>
      </c>
      <c r="T2" s="23" t="s">
        <v>2370</v>
      </c>
    </row>
    <row r="3" spans="1:20" ht="93" customHeight="1" x14ac:dyDescent="0.3">
      <c r="A3" s="25" t="s">
        <v>2371</v>
      </c>
      <c r="B3" s="23" t="s">
        <v>2372</v>
      </c>
      <c r="C3" s="23" t="s">
        <v>2360</v>
      </c>
      <c r="D3" s="23" t="s">
        <v>2361</v>
      </c>
      <c r="E3" s="23" t="s">
        <v>142</v>
      </c>
      <c r="F3" s="23" t="s">
        <v>2373</v>
      </c>
      <c r="G3" s="23" t="s">
        <v>2362</v>
      </c>
      <c r="H3" s="23" t="s">
        <v>2374</v>
      </c>
      <c r="I3" s="23" t="s">
        <v>2375</v>
      </c>
      <c r="J3" s="23" t="s">
        <v>2376</v>
      </c>
      <c r="K3" s="23" t="s">
        <v>2315</v>
      </c>
      <c r="L3" s="23" t="s">
        <v>2366</v>
      </c>
      <c r="M3" s="23" t="s">
        <v>227</v>
      </c>
      <c r="N3" s="23" t="s">
        <v>228</v>
      </c>
      <c r="O3" s="23" t="s">
        <v>229</v>
      </c>
      <c r="P3" s="23" t="s">
        <v>2377</v>
      </c>
      <c r="Q3" s="23" t="s">
        <v>2378</v>
      </c>
      <c r="R3" s="23" t="s">
        <v>2379</v>
      </c>
      <c r="S3" s="23" t="s">
        <v>2369</v>
      </c>
      <c r="T3" s="23" t="s">
        <v>2370</v>
      </c>
    </row>
    <row r="4" spans="1:20" ht="93" customHeight="1" x14ac:dyDescent="0.3">
      <c r="A4" s="25" t="s">
        <v>2380</v>
      </c>
      <c r="B4" s="23" t="s">
        <v>2381</v>
      </c>
      <c r="C4" s="23" t="s">
        <v>2382</v>
      </c>
      <c r="D4" s="23" t="s">
        <v>2383</v>
      </c>
      <c r="E4" s="23" t="s">
        <v>142</v>
      </c>
      <c r="F4" s="23" t="s">
        <v>2373</v>
      </c>
      <c r="G4" s="23" t="s">
        <v>258</v>
      </c>
      <c r="H4" s="23" t="s">
        <v>2384</v>
      </c>
      <c r="I4" s="23" t="s">
        <v>2375</v>
      </c>
      <c r="J4" s="23" t="s">
        <v>2385</v>
      </c>
      <c r="K4" s="23" t="s">
        <v>2315</v>
      </c>
      <c r="L4" s="23" t="s">
        <v>2386</v>
      </c>
      <c r="M4" s="23" t="s">
        <v>227</v>
      </c>
      <c r="N4" s="23" t="s">
        <v>228</v>
      </c>
      <c r="O4" s="23" t="s">
        <v>229</v>
      </c>
      <c r="P4" s="23" t="s">
        <v>2387</v>
      </c>
      <c r="Q4" s="23" t="s">
        <v>2388</v>
      </c>
      <c r="R4" s="23" t="s">
        <v>2389</v>
      </c>
      <c r="S4" s="23" t="s">
        <v>2369</v>
      </c>
      <c r="T4" s="23" t="s">
        <v>2370</v>
      </c>
    </row>
    <row r="5" spans="1:20" ht="51.75" customHeight="1" x14ac:dyDescent="0.3">
      <c r="A5" s="25" t="s">
        <v>2390</v>
      </c>
      <c r="B5" s="23" t="s">
        <v>2391</v>
      </c>
      <c r="C5" s="23" t="s">
        <v>2392</v>
      </c>
      <c r="D5" s="23" t="s">
        <v>2383</v>
      </c>
      <c r="E5" s="23" t="s">
        <v>142</v>
      </c>
      <c r="F5" s="23" t="s">
        <v>2373</v>
      </c>
      <c r="G5" s="23" t="s">
        <v>258</v>
      </c>
      <c r="H5" s="23" t="s">
        <v>2393</v>
      </c>
      <c r="I5" s="23" t="s">
        <v>2375</v>
      </c>
      <c r="J5" s="23" t="s">
        <v>2394</v>
      </c>
      <c r="K5" s="23" t="s">
        <v>2315</v>
      </c>
      <c r="L5" s="23" t="s">
        <v>2366</v>
      </c>
      <c r="M5" s="23" t="s">
        <v>227</v>
      </c>
      <c r="N5" s="23" t="s">
        <v>228</v>
      </c>
      <c r="O5" s="23" t="s">
        <v>229</v>
      </c>
      <c r="P5" s="23" t="s">
        <v>1909</v>
      </c>
      <c r="Q5" s="23" t="s">
        <v>2395</v>
      </c>
      <c r="R5" s="23" t="s">
        <v>2389</v>
      </c>
      <c r="S5" s="23" t="s">
        <v>2369</v>
      </c>
      <c r="T5" s="23" t="s">
        <v>2370</v>
      </c>
    </row>
    <row r="6" spans="1:20" ht="51.75" customHeight="1" x14ac:dyDescent="0.3">
      <c r="A6" s="25" t="s">
        <v>2396</v>
      </c>
      <c r="B6" s="23" t="s">
        <v>2397</v>
      </c>
      <c r="C6" s="23" t="s">
        <v>2392</v>
      </c>
      <c r="D6" s="23" t="s">
        <v>2383</v>
      </c>
      <c r="E6" s="23" t="s">
        <v>147</v>
      </c>
      <c r="F6" s="23" t="s">
        <v>2373</v>
      </c>
      <c r="G6" s="23" t="s">
        <v>2398</v>
      </c>
      <c r="H6" s="23" t="s">
        <v>2399</v>
      </c>
      <c r="I6" s="23" t="s">
        <v>2375</v>
      </c>
      <c r="J6" s="23" t="s">
        <v>2400</v>
      </c>
      <c r="K6" s="23" t="s">
        <v>2315</v>
      </c>
      <c r="L6" s="23" t="s">
        <v>2366</v>
      </c>
      <c r="M6" s="23" t="s">
        <v>227</v>
      </c>
      <c r="N6" s="23" t="s">
        <v>228</v>
      </c>
      <c r="O6" s="23" t="s">
        <v>229</v>
      </c>
      <c r="P6" s="23" t="s">
        <v>1929</v>
      </c>
      <c r="Q6" s="23" t="s">
        <v>2378</v>
      </c>
      <c r="R6" s="23" t="s">
        <v>2389</v>
      </c>
      <c r="S6" s="23" t="s">
        <v>2369</v>
      </c>
      <c r="T6" s="23" t="s">
        <v>2370</v>
      </c>
    </row>
    <row r="7" spans="1:20" ht="105.75" customHeight="1" x14ac:dyDescent="0.3">
      <c r="A7" s="25" t="s">
        <v>2401</v>
      </c>
      <c r="B7" s="23" t="s">
        <v>2402</v>
      </c>
      <c r="C7" s="23" t="s">
        <v>2392</v>
      </c>
      <c r="D7" s="23" t="s">
        <v>2383</v>
      </c>
      <c r="E7" s="23" t="s">
        <v>155</v>
      </c>
      <c r="F7" s="23" t="s">
        <v>2373</v>
      </c>
      <c r="G7" s="23" t="s">
        <v>2403</v>
      </c>
      <c r="H7" s="23" t="s">
        <v>2404</v>
      </c>
      <c r="I7" s="23" t="s">
        <v>2375</v>
      </c>
      <c r="J7" s="23" t="s">
        <v>2400</v>
      </c>
      <c r="K7" s="23" t="s">
        <v>2315</v>
      </c>
      <c r="L7" s="23" t="s">
        <v>2405</v>
      </c>
      <c r="M7" s="23" t="s">
        <v>227</v>
      </c>
      <c r="N7" s="23" t="s">
        <v>251</v>
      </c>
      <c r="O7" s="23" t="s">
        <v>252</v>
      </c>
      <c r="P7" s="23" t="s">
        <v>1909</v>
      </c>
      <c r="Q7" s="23" t="s">
        <v>2406</v>
      </c>
      <c r="R7" s="23" t="s">
        <v>2407</v>
      </c>
      <c r="S7" s="23" t="s">
        <v>2408</v>
      </c>
      <c r="T7" s="23" t="s">
        <v>2409</v>
      </c>
    </row>
    <row r="8" spans="1:20" ht="66" customHeight="1" x14ac:dyDescent="0.3">
      <c r="A8" s="25" t="s">
        <v>2410</v>
      </c>
      <c r="B8" s="23" t="s">
        <v>2411</v>
      </c>
      <c r="C8" s="23" t="s">
        <v>2392</v>
      </c>
      <c r="D8" s="23" t="s">
        <v>2383</v>
      </c>
      <c r="E8" s="23" t="s">
        <v>147</v>
      </c>
      <c r="F8" s="23" t="s">
        <v>236</v>
      </c>
      <c r="G8" s="23" t="s">
        <v>2412</v>
      </c>
      <c r="H8" s="23" t="s">
        <v>2413</v>
      </c>
      <c r="I8" s="23" t="s">
        <v>2364</v>
      </c>
      <c r="J8" s="23" t="s">
        <v>2414</v>
      </c>
      <c r="K8" s="23" t="s">
        <v>2315</v>
      </c>
      <c r="L8" s="23" t="s">
        <v>2366</v>
      </c>
      <c r="M8" s="23" t="s">
        <v>227</v>
      </c>
      <c r="N8" s="23" t="s">
        <v>228</v>
      </c>
      <c r="O8" s="23" t="s">
        <v>229</v>
      </c>
      <c r="P8" s="23" t="s">
        <v>1929</v>
      </c>
      <c r="Q8" s="23" t="s">
        <v>2415</v>
      </c>
      <c r="R8" s="23" t="s">
        <v>2416</v>
      </c>
      <c r="S8" s="23" t="s">
        <v>2369</v>
      </c>
      <c r="T8" s="23" t="s">
        <v>2370</v>
      </c>
    </row>
    <row r="9" spans="1:20" ht="160.5" customHeight="1" x14ac:dyDescent="0.3">
      <c r="A9" s="25" t="s">
        <v>2417</v>
      </c>
      <c r="B9" s="23" t="s">
        <v>2418</v>
      </c>
      <c r="C9" s="23" t="s">
        <v>2419</v>
      </c>
      <c r="D9" s="23" t="s">
        <v>2383</v>
      </c>
      <c r="E9" s="23" t="s">
        <v>256</v>
      </c>
      <c r="F9" s="23" t="s">
        <v>464</v>
      </c>
      <c r="G9" s="23" t="s">
        <v>2420</v>
      </c>
      <c r="H9" s="23" t="s">
        <v>2421</v>
      </c>
      <c r="I9" s="23" t="s">
        <v>2422</v>
      </c>
      <c r="J9" s="23" t="s">
        <v>2423</v>
      </c>
      <c r="K9" s="23" t="s">
        <v>2315</v>
      </c>
      <c r="L9" s="23" t="s">
        <v>2424</v>
      </c>
      <c r="M9" s="23" t="s">
        <v>227</v>
      </c>
      <c r="N9" s="23" t="s">
        <v>251</v>
      </c>
      <c r="O9" s="23" t="s">
        <v>252</v>
      </c>
      <c r="P9" s="23" t="s">
        <v>672</v>
      </c>
      <c r="Q9" s="23" t="s">
        <v>2425</v>
      </c>
      <c r="R9" s="23" t="s">
        <v>2426</v>
      </c>
      <c r="S9" s="23" t="s">
        <v>2427</v>
      </c>
      <c r="T9" s="23" t="s">
        <v>2409</v>
      </c>
    </row>
    <row r="10" spans="1:20" ht="66" customHeight="1" x14ac:dyDescent="0.3">
      <c r="A10" s="25" t="s">
        <v>2428</v>
      </c>
      <c r="B10" s="23" t="s">
        <v>2429</v>
      </c>
      <c r="C10" s="23" t="s">
        <v>2430</v>
      </c>
      <c r="D10" s="23" t="s">
        <v>2361</v>
      </c>
      <c r="E10" s="23" t="s">
        <v>142</v>
      </c>
      <c r="F10" s="23" t="s">
        <v>2373</v>
      </c>
      <c r="G10" s="23" t="s">
        <v>2431</v>
      </c>
      <c r="H10" s="23" t="s">
        <v>2432</v>
      </c>
      <c r="I10" s="23" t="s">
        <v>2433</v>
      </c>
      <c r="J10" s="23" t="s">
        <v>2434</v>
      </c>
      <c r="K10" s="23" t="s">
        <v>2315</v>
      </c>
      <c r="L10" s="23" t="s">
        <v>2435</v>
      </c>
      <c r="M10" s="23" t="s">
        <v>227</v>
      </c>
      <c r="N10" s="23" t="s">
        <v>228</v>
      </c>
      <c r="O10" s="23" t="s">
        <v>229</v>
      </c>
      <c r="P10" s="23" t="s">
        <v>1929</v>
      </c>
      <c r="Q10" s="23" t="s">
        <v>2436</v>
      </c>
      <c r="R10" s="23" t="s">
        <v>2437</v>
      </c>
      <c r="S10" s="23" t="s">
        <v>2369</v>
      </c>
      <c r="T10" s="23" t="s">
        <v>2438</v>
      </c>
    </row>
    <row r="11" spans="1:20" ht="105.75" customHeight="1" x14ac:dyDescent="0.3">
      <c r="A11" s="25" t="s">
        <v>2439</v>
      </c>
      <c r="B11" s="23" t="s">
        <v>2440</v>
      </c>
      <c r="C11" s="23" t="s">
        <v>2392</v>
      </c>
      <c r="D11" s="23" t="s">
        <v>2361</v>
      </c>
      <c r="E11" s="23" t="s">
        <v>142</v>
      </c>
      <c r="F11" s="23" t="s">
        <v>236</v>
      </c>
      <c r="G11" s="23" t="s">
        <v>2441</v>
      </c>
      <c r="H11" s="23" t="s">
        <v>2442</v>
      </c>
      <c r="I11" s="23" t="s">
        <v>2433</v>
      </c>
      <c r="J11" s="23" t="s">
        <v>2443</v>
      </c>
      <c r="K11" s="23" t="s">
        <v>2318</v>
      </c>
      <c r="L11" s="23" t="s">
        <v>2366</v>
      </c>
      <c r="M11" s="23" t="s">
        <v>227</v>
      </c>
      <c r="N11" s="23" t="s">
        <v>228</v>
      </c>
      <c r="O11" s="23" t="s">
        <v>229</v>
      </c>
      <c r="P11" s="23" t="s">
        <v>1909</v>
      </c>
      <c r="Q11" s="23" t="s">
        <v>2444</v>
      </c>
      <c r="R11" s="23" t="s">
        <v>2445</v>
      </c>
      <c r="S11" s="23" t="s">
        <v>2369</v>
      </c>
      <c r="T11" s="23" t="s">
        <v>2446</v>
      </c>
    </row>
    <row r="12" spans="1:20" ht="78.75" customHeight="1" x14ac:dyDescent="0.3">
      <c r="A12" s="25" t="s">
        <v>2447</v>
      </c>
      <c r="B12" s="23" t="s">
        <v>2448</v>
      </c>
      <c r="C12" s="23" t="s">
        <v>2392</v>
      </c>
      <c r="D12" s="23" t="s">
        <v>2361</v>
      </c>
      <c r="E12" s="23" t="s">
        <v>147</v>
      </c>
      <c r="F12" s="23" t="s">
        <v>2449</v>
      </c>
      <c r="G12" s="23" t="s">
        <v>2450</v>
      </c>
      <c r="H12" s="23" t="s">
        <v>2451</v>
      </c>
      <c r="I12" s="23" t="s">
        <v>2433</v>
      </c>
      <c r="J12" s="23" t="s">
        <v>2452</v>
      </c>
      <c r="K12" s="23" t="s">
        <v>2318</v>
      </c>
      <c r="L12" s="23" t="s">
        <v>2453</v>
      </c>
      <c r="M12" s="23" t="s">
        <v>227</v>
      </c>
      <c r="N12" s="23" t="s">
        <v>228</v>
      </c>
      <c r="O12" s="23" t="s">
        <v>229</v>
      </c>
      <c r="P12" s="23" t="s">
        <v>1830</v>
      </c>
      <c r="Q12" s="23" t="s">
        <v>2444</v>
      </c>
      <c r="R12" s="23" t="s">
        <v>2445</v>
      </c>
      <c r="S12" s="23" t="s">
        <v>2369</v>
      </c>
      <c r="T12" s="23" t="s">
        <v>2446</v>
      </c>
    </row>
    <row r="13" spans="1:20" ht="78.75" customHeight="1" x14ac:dyDescent="0.3">
      <c r="A13" s="25" t="s">
        <v>2454</v>
      </c>
      <c r="B13" s="23" t="s">
        <v>2455</v>
      </c>
      <c r="C13" s="23" t="s">
        <v>2392</v>
      </c>
      <c r="D13" s="23" t="s">
        <v>2361</v>
      </c>
      <c r="E13" s="23" t="s">
        <v>142</v>
      </c>
      <c r="F13" s="23" t="s">
        <v>236</v>
      </c>
      <c r="G13" s="23" t="s">
        <v>2450</v>
      </c>
      <c r="H13" s="23" t="s">
        <v>2456</v>
      </c>
      <c r="I13" s="23" t="s">
        <v>2433</v>
      </c>
      <c r="J13" s="23" t="s">
        <v>2457</v>
      </c>
      <c r="K13" s="23" t="s">
        <v>2318</v>
      </c>
      <c r="L13" s="23" t="s">
        <v>2366</v>
      </c>
      <c r="M13" s="23" t="s">
        <v>227</v>
      </c>
      <c r="N13" s="23" t="s">
        <v>228</v>
      </c>
      <c r="O13" s="23" t="s">
        <v>229</v>
      </c>
      <c r="P13" s="23" t="s">
        <v>1909</v>
      </c>
      <c r="Q13" s="23" t="s">
        <v>2458</v>
      </c>
      <c r="R13" s="23" t="s">
        <v>2459</v>
      </c>
      <c r="S13" s="23" t="s">
        <v>2369</v>
      </c>
      <c r="T13" s="23" t="s">
        <v>2446</v>
      </c>
    </row>
    <row r="14" spans="1:20" ht="78.75" customHeight="1" x14ac:dyDescent="0.3">
      <c r="A14" s="25" t="s">
        <v>2460</v>
      </c>
      <c r="B14" s="23" t="s">
        <v>2461</v>
      </c>
      <c r="C14" s="23" t="s">
        <v>2392</v>
      </c>
      <c r="D14" s="23" t="s">
        <v>2361</v>
      </c>
      <c r="E14" s="23" t="s">
        <v>147</v>
      </c>
      <c r="F14" s="23" t="s">
        <v>236</v>
      </c>
      <c r="G14" s="23" t="s">
        <v>2450</v>
      </c>
      <c r="H14" s="23" t="s">
        <v>2462</v>
      </c>
      <c r="I14" s="23" t="s">
        <v>2433</v>
      </c>
      <c r="J14" s="23" t="s">
        <v>2463</v>
      </c>
      <c r="K14" s="23" t="s">
        <v>2318</v>
      </c>
      <c r="L14" s="23" t="s">
        <v>2366</v>
      </c>
      <c r="M14" s="23" t="s">
        <v>227</v>
      </c>
      <c r="N14" s="23" t="s">
        <v>228</v>
      </c>
      <c r="O14" s="23" t="s">
        <v>229</v>
      </c>
      <c r="P14" s="23" t="s">
        <v>1909</v>
      </c>
      <c r="Q14" s="23" t="s">
        <v>2464</v>
      </c>
      <c r="R14" s="23" t="s">
        <v>2445</v>
      </c>
      <c r="S14" s="23" t="s">
        <v>2369</v>
      </c>
      <c r="T14" s="23" t="s">
        <v>2446</v>
      </c>
    </row>
    <row r="15" spans="1:20" ht="105.75" customHeight="1" x14ac:dyDescent="0.3">
      <c r="A15" s="25" t="s">
        <v>2465</v>
      </c>
      <c r="B15" s="23" t="s">
        <v>2466</v>
      </c>
      <c r="C15" s="23" t="s">
        <v>2392</v>
      </c>
      <c r="D15" s="23" t="s">
        <v>2361</v>
      </c>
      <c r="E15" s="23" t="s">
        <v>142</v>
      </c>
      <c r="F15" s="23" t="s">
        <v>464</v>
      </c>
      <c r="G15" s="23" t="s">
        <v>2450</v>
      </c>
      <c r="H15" s="23" t="s">
        <v>2467</v>
      </c>
      <c r="I15" s="23" t="s">
        <v>2468</v>
      </c>
      <c r="J15" s="23" t="s">
        <v>2469</v>
      </c>
      <c r="K15" s="23" t="s">
        <v>2318</v>
      </c>
      <c r="L15" s="23" t="s">
        <v>2470</v>
      </c>
      <c r="M15" s="23" t="s">
        <v>227</v>
      </c>
      <c r="N15" s="23" t="s">
        <v>228</v>
      </c>
      <c r="O15" s="23" t="s">
        <v>229</v>
      </c>
      <c r="P15" s="23" t="s">
        <v>1928</v>
      </c>
      <c r="Q15" s="23" t="s">
        <v>2471</v>
      </c>
      <c r="R15" s="23" t="s">
        <v>2472</v>
      </c>
      <c r="S15" s="23" t="s">
        <v>2369</v>
      </c>
      <c r="T15" s="23" t="s">
        <v>2446</v>
      </c>
    </row>
    <row r="16" spans="1:20" ht="66" customHeight="1" x14ac:dyDescent="0.3">
      <c r="A16" s="25" t="s">
        <v>2473</v>
      </c>
      <c r="B16" s="23" t="s">
        <v>2474</v>
      </c>
      <c r="C16" s="23" t="s">
        <v>2392</v>
      </c>
      <c r="D16" s="23" t="s">
        <v>2361</v>
      </c>
      <c r="E16" s="23" t="s">
        <v>147</v>
      </c>
      <c r="F16" s="23" t="s">
        <v>672</v>
      </c>
      <c r="G16" s="23" t="s">
        <v>2450</v>
      </c>
      <c r="H16" s="23" t="s">
        <v>2475</v>
      </c>
      <c r="I16" s="23" t="s">
        <v>2468</v>
      </c>
      <c r="J16" s="23" t="s">
        <v>2476</v>
      </c>
      <c r="K16" s="23" t="s">
        <v>2318</v>
      </c>
      <c r="L16" s="23" t="s">
        <v>2477</v>
      </c>
      <c r="M16" s="23" t="s">
        <v>227</v>
      </c>
      <c r="N16" s="23" t="s">
        <v>228</v>
      </c>
      <c r="O16" s="23" t="s">
        <v>229</v>
      </c>
      <c r="P16" s="23" t="s">
        <v>672</v>
      </c>
      <c r="Q16" s="23" t="s">
        <v>2478</v>
      </c>
      <c r="R16" s="23" t="s">
        <v>2479</v>
      </c>
      <c r="S16" s="23" t="s">
        <v>2369</v>
      </c>
      <c r="T16" s="23" t="s">
        <v>2446</v>
      </c>
    </row>
    <row r="17" spans="1:20" ht="66" customHeight="1" x14ac:dyDescent="0.3">
      <c r="A17" s="25" t="s">
        <v>2480</v>
      </c>
      <c r="B17" s="23" t="s">
        <v>2481</v>
      </c>
      <c r="C17" s="23" t="s">
        <v>2392</v>
      </c>
      <c r="D17" s="23" t="s">
        <v>2361</v>
      </c>
      <c r="E17" s="23" t="s">
        <v>147</v>
      </c>
      <c r="F17" s="23" t="s">
        <v>672</v>
      </c>
      <c r="G17" s="23" t="s">
        <v>2450</v>
      </c>
      <c r="H17" s="23" t="s">
        <v>2482</v>
      </c>
      <c r="I17" s="23" t="s">
        <v>2433</v>
      </c>
      <c r="J17" s="23" t="s">
        <v>2483</v>
      </c>
      <c r="K17" s="23" t="s">
        <v>2318</v>
      </c>
      <c r="L17" s="23" t="s">
        <v>2477</v>
      </c>
      <c r="M17" s="23" t="s">
        <v>227</v>
      </c>
      <c r="N17" s="23" t="s">
        <v>228</v>
      </c>
      <c r="O17" s="23" t="s">
        <v>229</v>
      </c>
      <c r="P17" s="23" t="s">
        <v>672</v>
      </c>
      <c r="Q17" s="23" t="s">
        <v>2478</v>
      </c>
      <c r="R17" s="23" t="s">
        <v>2445</v>
      </c>
      <c r="S17" s="23" t="s">
        <v>2369</v>
      </c>
      <c r="T17" s="23" t="s">
        <v>2446</v>
      </c>
    </row>
    <row r="18" spans="1:20" ht="78.75" customHeight="1" x14ac:dyDescent="0.3">
      <c r="A18" s="25" t="s">
        <v>2484</v>
      </c>
      <c r="B18" s="23" t="s">
        <v>2485</v>
      </c>
      <c r="C18" s="23" t="s">
        <v>2392</v>
      </c>
      <c r="D18" s="23" t="s">
        <v>2361</v>
      </c>
      <c r="E18" s="23" t="s">
        <v>147</v>
      </c>
      <c r="F18" s="23" t="s">
        <v>672</v>
      </c>
      <c r="G18" s="23" t="s">
        <v>2450</v>
      </c>
      <c r="H18" s="23" t="s">
        <v>2486</v>
      </c>
      <c r="I18" s="23" t="s">
        <v>2433</v>
      </c>
      <c r="J18" s="23" t="s">
        <v>2487</v>
      </c>
      <c r="K18" s="23" t="s">
        <v>2318</v>
      </c>
      <c r="L18" s="23" t="s">
        <v>2477</v>
      </c>
      <c r="M18" s="23" t="s">
        <v>227</v>
      </c>
      <c r="N18" s="23" t="s">
        <v>228</v>
      </c>
      <c r="O18" s="23" t="s">
        <v>229</v>
      </c>
      <c r="P18" s="23" t="s">
        <v>672</v>
      </c>
      <c r="Q18" s="23" t="s">
        <v>2478</v>
      </c>
      <c r="R18" s="23" t="s">
        <v>2445</v>
      </c>
      <c r="S18" s="23" t="s">
        <v>2369</v>
      </c>
      <c r="T18" s="23" t="s">
        <v>2446</v>
      </c>
    </row>
    <row r="19" spans="1:20" ht="78.75" customHeight="1" x14ac:dyDescent="0.3">
      <c r="A19" s="25" t="s">
        <v>2488</v>
      </c>
      <c r="B19" s="23" t="s">
        <v>2489</v>
      </c>
      <c r="C19" s="23" t="s">
        <v>2392</v>
      </c>
      <c r="D19" s="23" t="s">
        <v>2361</v>
      </c>
      <c r="E19" s="23" t="s">
        <v>147</v>
      </c>
      <c r="F19" s="23" t="s">
        <v>672</v>
      </c>
      <c r="G19" s="23" t="s">
        <v>2450</v>
      </c>
      <c r="H19" s="23" t="s">
        <v>2490</v>
      </c>
      <c r="I19" s="23" t="s">
        <v>2468</v>
      </c>
      <c r="J19" s="23" t="s">
        <v>2476</v>
      </c>
      <c r="K19" s="23" t="s">
        <v>2318</v>
      </c>
      <c r="L19" s="23" t="s">
        <v>2477</v>
      </c>
      <c r="M19" s="23" t="s">
        <v>227</v>
      </c>
      <c r="N19" s="23" t="s">
        <v>228</v>
      </c>
      <c r="O19" s="23" t="s">
        <v>229</v>
      </c>
      <c r="P19" s="23" t="s">
        <v>672</v>
      </c>
      <c r="Q19" s="23" t="s">
        <v>2478</v>
      </c>
      <c r="R19" s="23" t="s">
        <v>2479</v>
      </c>
      <c r="S19" s="23" t="s">
        <v>2369</v>
      </c>
      <c r="T19" s="23" t="s">
        <v>2446</v>
      </c>
    </row>
    <row r="20" spans="1:20" ht="78.75" customHeight="1" x14ac:dyDescent="0.3">
      <c r="A20" s="25" t="s">
        <v>2491</v>
      </c>
      <c r="B20" s="23" t="s">
        <v>2492</v>
      </c>
      <c r="C20" s="23" t="s">
        <v>2392</v>
      </c>
      <c r="D20" s="23" t="s">
        <v>2361</v>
      </c>
      <c r="E20" s="23" t="s">
        <v>155</v>
      </c>
      <c r="F20" s="23" t="s">
        <v>672</v>
      </c>
      <c r="G20" s="23" t="s">
        <v>2450</v>
      </c>
      <c r="H20" s="23" t="s">
        <v>2493</v>
      </c>
      <c r="I20" s="23" t="s">
        <v>2468</v>
      </c>
      <c r="J20" s="23" t="s">
        <v>2494</v>
      </c>
      <c r="K20" s="23" t="s">
        <v>2318</v>
      </c>
      <c r="L20" s="23" t="s">
        <v>2495</v>
      </c>
      <c r="M20" s="23" t="s">
        <v>227</v>
      </c>
      <c r="N20" s="23" t="s">
        <v>251</v>
      </c>
      <c r="O20" s="23" t="s">
        <v>252</v>
      </c>
      <c r="P20" s="23" t="s">
        <v>2496</v>
      </c>
      <c r="Q20" s="23" t="s">
        <v>2478</v>
      </c>
      <c r="R20" s="23" t="s">
        <v>2479</v>
      </c>
      <c r="S20" s="23" t="s">
        <v>2369</v>
      </c>
      <c r="T20" s="23" t="s">
        <v>2409</v>
      </c>
    </row>
    <row r="21" spans="1:20" ht="66" customHeight="1" x14ac:dyDescent="0.3">
      <c r="A21" s="25" t="s">
        <v>2497</v>
      </c>
      <c r="B21" s="23" t="s">
        <v>2498</v>
      </c>
      <c r="C21" s="23" t="s">
        <v>2392</v>
      </c>
      <c r="D21" s="23" t="s">
        <v>2361</v>
      </c>
      <c r="E21" s="23" t="s">
        <v>147</v>
      </c>
      <c r="F21" s="23" t="s">
        <v>464</v>
      </c>
      <c r="G21" s="23" t="s">
        <v>2450</v>
      </c>
      <c r="H21" s="23" t="s">
        <v>2499</v>
      </c>
      <c r="I21" s="23" t="s">
        <v>2468</v>
      </c>
      <c r="J21" s="23" t="s">
        <v>2500</v>
      </c>
      <c r="K21" s="23" t="s">
        <v>2318</v>
      </c>
      <c r="L21" s="23" t="s">
        <v>2470</v>
      </c>
      <c r="M21" s="23" t="s">
        <v>227</v>
      </c>
      <c r="N21" s="23" t="s">
        <v>228</v>
      </c>
      <c r="O21" s="23" t="s">
        <v>229</v>
      </c>
      <c r="P21" s="23" t="s">
        <v>1909</v>
      </c>
      <c r="Q21" s="23" t="s">
        <v>2501</v>
      </c>
      <c r="R21" s="23" t="s">
        <v>2479</v>
      </c>
      <c r="S21" s="23" t="s">
        <v>2369</v>
      </c>
      <c r="T21" s="23" t="s">
        <v>2446</v>
      </c>
    </row>
    <row r="22" spans="1:20" ht="66" customHeight="1" x14ac:dyDescent="0.3">
      <c r="A22" s="25" t="s">
        <v>2502</v>
      </c>
      <c r="B22" s="23" t="s">
        <v>2503</v>
      </c>
      <c r="C22" s="23" t="s">
        <v>2392</v>
      </c>
      <c r="D22" s="23" t="s">
        <v>2361</v>
      </c>
      <c r="E22" s="23" t="s">
        <v>147</v>
      </c>
      <c r="F22" s="23" t="s">
        <v>464</v>
      </c>
      <c r="G22" s="23" t="s">
        <v>2450</v>
      </c>
      <c r="H22" s="23" t="s">
        <v>2504</v>
      </c>
      <c r="I22" s="23" t="s">
        <v>2468</v>
      </c>
      <c r="J22" s="23" t="s">
        <v>2505</v>
      </c>
      <c r="K22" s="23" t="s">
        <v>2318</v>
      </c>
      <c r="L22" s="23" t="s">
        <v>2470</v>
      </c>
      <c r="M22" s="23" t="s">
        <v>227</v>
      </c>
      <c r="N22" s="23" t="s">
        <v>228</v>
      </c>
      <c r="O22" s="23" t="s">
        <v>229</v>
      </c>
      <c r="P22" s="23" t="s">
        <v>1909</v>
      </c>
      <c r="Q22" s="23" t="s">
        <v>2501</v>
      </c>
      <c r="R22" s="23" t="s">
        <v>2479</v>
      </c>
      <c r="S22" s="23" t="s">
        <v>2369</v>
      </c>
      <c r="T22" s="23" t="s">
        <v>2446</v>
      </c>
    </row>
    <row r="23" spans="1:20" ht="78.75" customHeight="1" x14ac:dyDescent="0.3">
      <c r="A23" s="25" t="s">
        <v>2506</v>
      </c>
      <c r="B23" s="23" t="s">
        <v>2507</v>
      </c>
      <c r="C23" s="23" t="s">
        <v>2392</v>
      </c>
      <c r="D23" s="23" t="s">
        <v>2361</v>
      </c>
      <c r="E23" s="23" t="s">
        <v>147</v>
      </c>
      <c r="F23" s="23" t="s">
        <v>236</v>
      </c>
      <c r="G23" s="23" t="s">
        <v>2450</v>
      </c>
      <c r="H23" s="23" t="s">
        <v>2508</v>
      </c>
      <c r="I23" s="23" t="s">
        <v>2433</v>
      </c>
      <c r="J23" s="23" t="s">
        <v>2509</v>
      </c>
      <c r="K23" s="23" t="s">
        <v>2318</v>
      </c>
      <c r="L23" s="23" t="s">
        <v>2366</v>
      </c>
      <c r="M23" s="23" t="s">
        <v>227</v>
      </c>
      <c r="N23" s="23" t="s">
        <v>228</v>
      </c>
      <c r="O23" s="23" t="s">
        <v>229</v>
      </c>
      <c r="P23" s="23" t="s">
        <v>1909</v>
      </c>
      <c r="Q23" s="23" t="s">
        <v>2510</v>
      </c>
      <c r="R23" s="23" t="s">
        <v>2445</v>
      </c>
      <c r="S23" s="23" t="s">
        <v>2369</v>
      </c>
      <c r="T23" s="23" t="s">
        <v>2446</v>
      </c>
    </row>
    <row r="24" spans="1:20" ht="66" customHeight="1" x14ac:dyDescent="0.3">
      <c r="A24" s="25" t="s">
        <v>2511</v>
      </c>
      <c r="B24" s="23" t="s">
        <v>2512</v>
      </c>
      <c r="C24" s="23" t="s">
        <v>2392</v>
      </c>
      <c r="D24" s="23" t="s">
        <v>2361</v>
      </c>
      <c r="E24" s="23" t="s">
        <v>147</v>
      </c>
      <c r="F24" s="23" t="s">
        <v>672</v>
      </c>
      <c r="G24" s="23" t="s">
        <v>2450</v>
      </c>
      <c r="H24" s="23" t="s">
        <v>2513</v>
      </c>
      <c r="I24" s="23" t="s">
        <v>2468</v>
      </c>
      <c r="J24" s="23" t="s">
        <v>2514</v>
      </c>
      <c r="K24" s="23" t="s">
        <v>2318</v>
      </c>
      <c r="L24" s="23" t="s">
        <v>2477</v>
      </c>
      <c r="M24" s="23" t="s">
        <v>227</v>
      </c>
      <c r="N24" s="23" t="s">
        <v>228</v>
      </c>
      <c r="O24" s="23" t="s">
        <v>229</v>
      </c>
      <c r="P24" s="23" t="s">
        <v>672</v>
      </c>
      <c r="Q24" s="23" t="s">
        <v>2515</v>
      </c>
      <c r="R24" s="23" t="s">
        <v>2479</v>
      </c>
      <c r="S24" s="23" t="s">
        <v>2369</v>
      </c>
      <c r="T24" s="23" t="s">
        <v>2446</v>
      </c>
    </row>
    <row r="25" spans="1:20" ht="66" customHeight="1" x14ac:dyDescent="0.3">
      <c r="A25" s="25" t="s">
        <v>2516</v>
      </c>
      <c r="B25" s="23" t="s">
        <v>2517</v>
      </c>
      <c r="C25" s="23" t="s">
        <v>2392</v>
      </c>
      <c r="D25" s="23" t="s">
        <v>2361</v>
      </c>
      <c r="E25" s="23" t="s">
        <v>147</v>
      </c>
      <c r="F25" s="23" t="s">
        <v>672</v>
      </c>
      <c r="G25" s="23" t="s">
        <v>2450</v>
      </c>
      <c r="H25" s="23" t="s">
        <v>2518</v>
      </c>
      <c r="I25" s="23" t="s">
        <v>2468</v>
      </c>
      <c r="J25" s="23" t="s">
        <v>2514</v>
      </c>
      <c r="K25" s="23" t="s">
        <v>2318</v>
      </c>
      <c r="L25" s="23" t="s">
        <v>2477</v>
      </c>
      <c r="M25" s="23" t="s">
        <v>227</v>
      </c>
      <c r="N25" s="23" t="s">
        <v>228</v>
      </c>
      <c r="O25" s="23" t="s">
        <v>229</v>
      </c>
      <c r="P25" s="23" t="s">
        <v>672</v>
      </c>
      <c r="Q25" s="23" t="s">
        <v>2515</v>
      </c>
      <c r="R25" s="23" t="s">
        <v>2479</v>
      </c>
      <c r="S25" s="23" t="s">
        <v>2369</v>
      </c>
      <c r="T25" s="23" t="s">
        <v>2446</v>
      </c>
    </row>
    <row r="26" spans="1:20" ht="66" customHeight="1" x14ac:dyDescent="0.3">
      <c r="A26" s="25" t="s">
        <v>2519</v>
      </c>
      <c r="B26" s="23" t="s">
        <v>2520</v>
      </c>
      <c r="C26" s="23" t="s">
        <v>2392</v>
      </c>
      <c r="D26" s="23" t="s">
        <v>2361</v>
      </c>
      <c r="E26" s="23" t="s">
        <v>147</v>
      </c>
      <c r="F26" s="23" t="s">
        <v>464</v>
      </c>
      <c r="G26" s="23" t="s">
        <v>2450</v>
      </c>
      <c r="H26" s="23" t="s">
        <v>2521</v>
      </c>
      <c r="I26" s="23" t="s">
        <v>2468</v>
      </c>
      <c r="J26" s="23" t="s">
        <v>2514</v>
      </c>
      <c r="K26" s="23" t="s">
        <v>2318</v>
      </c>
      <c r="L26" s="23" t="s">
        <v>2470</v>
      </c>
      <c r="M26" s="23" t="s">
        <v>227</v>
      </c>
      <c r="N26" s="23" t="s">
        <v>228</v>
      </c>
      <c r="O26" s="23" t="s">
        <v>229</v>
      </c>
      <c r="P26" s="23" t="s">
        <v>1909</v>
      </c>
      <c r="Q26" s="23" t="s">
        <v>2522</v>
      </c>
      <c r="R26" s="23" t="s">
        <v>2479</v>
      </c>
      <c r="S26" s="23" t="s">
        <v>2369</v>
      </c>
      <c r="T26" s="23" t="s">
        <v>2446</v>
      </c>
    </row>
    <row r="27" spans="1:20" ht="78.75" customHeight="1" x14ac:dyDescent="0.3">
      <c r="A27" s="25" t="s">
        <v>2523</v>
      </c>
      <c r="B27" s="23" t="s">
        <v>2524</v>
      </c>
      <c r="C27" s="23" t="s">
        <v>2392</v>
      </c>
      <c r="D27" s="23" t="s">
        <v>2361</v>
      </c>
      <c r="E27" s="23" t="s">
        <v>155</v>
      </c>
      <c r="F27" s="23" t="s">
        <v>464</v>
      </c>
      <c r="G27" s="23" t="s">
        <v>2450</v>
      </c>
      <c r="H27" s="23" t="s">
        <v>2525</v>
      </c>
      <c r="I27" s="23" t="s">
        <v>2468</v>
      </c>
      <c r="J27" s="23" t="s">
        <v>2526</v>
      </c>
      <c r="K27" s="23" t="s">
        <v>2318</v>
      </c>
      <c r="L27" s="23" t="s">
        <v>2495</v>
      </c>
      <c r="M27" s="23" t="s">
        <v>227</v>
      </c>
      <c r="N27" s="23" t="s">
        <v>251</v>
      </c>
      <c r="O27" s="23" t="s">
        <v>252</v>
      </c>
      <c r="P27" s="23" t="s">
        <v>1909</v>
      </c>
      <c r="Q27" s="23" t="s">
        <v>2510</v>
      </c>
      <c r="R27" s="23" t="s">
        <v>2479</v>
      </c>
      <c r="S27" s="23" t="s">
        <v>2369</v>
      </c>
      <c r="T27" s="23" t="s">
        <v>2409</v>
      </c>
    </row>
    <row r="28" spans="1:20" ht="66" customHeight="1" x14ac:dyDescent="0.3">
      <c r="A28" s="25" t="s">
        <v>2527</v>
      </c>
      <c r="B28" s="23" t="s">
        <v>2528</v>
      </c>
      <c r="C28" s="23" t="s">
        <v>2392</v>
      </c>
      <c r="D28" s="23" t="s">
        <v>2361</v>
      </c>
      <c r="E28" s="23" t="s">
        <v>147</v>
      </c>
      <c r="F28" s="23" t="s">
        <v>464</v>
      </c>
      <c r="G28" s="23" t="s">
        <v>2450</v>
      </c>
      <c r="H28" s="23" t="s">
        <v>2529</v>
      </c>
      <c r="I28" s="23" t="s">
        <v>2468</v>
      </c>
      <c r="J28" s="23" t="s">
        <v>2530</v>
      </c>
      <c r="K28" s="23" t="s">
        <v>2318</v>
      </c>
      <c r="L28" s="23" t="s">
        <v>2470</v>
      </c>
      <c r="M28" s="23" t="s">
        <v>227</v>
      </c>
      <c r="N28" s="23" t="s">
        <v>228</v>
      </c>
      <c r="O28" s="23" t="s">
        <v>229</v>
      </c>
      <c r="P28" s="23" t="s">
        <v>1909</v>
      </c>
      <c r="Q28" s="23" t="s">
        <v>2510</v>
      </c>
      <c r="R28" s="23" t="s">
        <v>2479</v>
      </c>
      <c r="S28" s="23" t="s">
        <v>2369</v>
      </c>
      <c r="T28" s="23" t="s">
        <v>2446</v>
      </c>
    </row>
    <row r="29" spans="1:20" ht="93" customHeight="1" x14ac:dyDescent="0.3">
      <c r="A29" s="25" t="s">
        <v>2531</v>
      </c>
      <c r="B29" s="23" t="s">
        <v>2532</v>
      </c>
      <c r="C29" s="23" t="s">
        <v>2392</v>
      </c>
      <c r="D29" s="23" t="s">
        <v>2361</v>
      </c>
      <c r="E29" s="23" t="s">
        <v>155</v>
      </c>
      <c r="F29" s="23" t="s">
        <v>672</v>
      </c>
      <c r="G29" s="23" t="s">
        <v>2450</v>
      </c>
      <c r="H29" s="23" t="s">
        <v>2533</v>
      </c>
      <c r="I29" s="23" t="s">
        <v>2534</v>
      </c>
      <c r="J29" s="23" t="s">
        <v>2535</v>
      </c>
      <c r="K29" s="23" t="s">
        <v>2318</v>
      </c>
      <c r="L29" s="23" t="s">
        <v>2495</v>
      </c>
      <c r="M29" s="23" t="s">
        <v>227</v>
      </c>
      <c r="N29" s="23" t="s">
        <v>251</v>
      </c>
      <c r="O29" s="23" t="s">
        <v>252</v>
      </c>
      <c r="P29" s="23" t="s">
        <v>672</v>
      </c>
      <c r="Q29" s="23" t="s">
        <v>2536</v>
      </c>
      <c r="R29" s="23" t="s">
        <v>2537</v>
      </c>
      <c r="S29" s="23" t="s">
        <v>2369</v>
      </c>
      <c r="T29" s="23" t="s">
        <v>2409</v>
      </c>
    </row>
    <row r="30" spans="1:20" ht="78.75" customHeight="1" x14ac:dyDescent="0.3">
      <c r="A30" s="25" t="s">
        <v>2538</v>
      </c>
      <c r="B30" s="23" t="s">
        <v>2539</v>
      </c>
      <c r="C30" s="23" t="s">
        <v>2392</v>
      </c>
      <c r="D30" s="23" t="s">
        <v>2361</v>
      </c>
      <c r="E30" s="23" t="s">
        <v>155</v>
      </c>
      <c r="F30" s="23" t="s">
        <v>672</v>
      </c>
      <c r="G30" s="23" t="s">
        <v>2450</v>
      </c>
      <c r="H30" s="23" t="s">
        <v>2540</v>
      </c>
      <c r="I30" s="23" t="s">
        <v>2468</v>
      </c>
      <c r="J30" s="23" t="s">
        <v>2541</v>
      </c>
      <c r="K30" s="23" t="s">
        <v>2318</v>
      </c>
      <c r="L30" s="23" t="s">
        <v>2495</v>
      </c>
      <c r="M30" s="23" t="s">
        <v>227</v>
      </c>
      <c r="N30" s="23" t="s">
        <v>251</v>
      </c>
      <c r="O30" s="23" t="s">
        <v>252</v>
      </c>
      <c r="P30" s="23" t="s">
        <v>672</v>
      </c>
      <c r="Q30" s="23" t="s">
        <v>2536</v>
      </c>
      <c r="R30" s="23" t="s">
        <v>2479</v>
      </c>
      <c r="S30" s="23" t="s">
        <v>2369</v>
      </c>
      <c r="T30" s="23" t="s">
        <v>2409</v>
      </c>
    </row>
    <row r="31" spans="1:20" ht="66" customHeight="1" x14ac:dyDescent="0.3">
      <c r="A31" s="25" t="s">
        <v>2542</v>
      </c>
      <c r="B31" s="23" t="s">
        <v>2543</v>
      </c>
      <c r="C31" s="23" t="s">
        <v>2392</v>
      </c>
      <c r="D31" s="23" t="s">
        <v>2361</v>
      </c>
      <c r="E31" s="23" t="s">
        <v>142</v>
      </c>
      <c r="F31" s="23" t="s">
        <v>464</v>
      </c>
      <c r="G31" s="23" t="s">
        <v>2450</v>
      </c>
      <c r="H31" s="23" t="s">
        <v>2544</v>
      </c>
      <c r="I31" s="23" t="s">
        <v>2468</v>
      </c>
      <c r="J31" s="23" t="s">
        <v>2545</v>
      </c>
      <c r="K31" s="23" t="s">
        <v>2318</v>
      </c>
      <c r="L31" s="23" t="s">
        <v>2470</v>
      </c>
      <c r="M31" s="23" t="s">
        <v>227</v>
      </c>
      <c r="N31" s="23" t="s">
        <v>228</v>
      </c>
      <c r="O31" s="23" t="s">
        <v>229</v>
      </c>
      <c r="P31" s="23" t="s">
        <v>1909</v>
      </c>
      <c r="Q31" s="23" t="s">
        <v>2546</v>
      </c>
      <c r="R31" s="23" t="s">
        <v>2479</v>
      </c>
      <c r="S31" s="23" t="s">
        <v>2369</v>
      </c>
      <c r="T31" s="23" t="s">
        <v>2446</v>
      </c>
    </row>
    <row r="32" spans="1:20" ht="78.75" customHeight="1" x14ac:dyDescent="0.3">
      <c r="A32" s="25" t="s">
        <v>2547</v>
      </c>
      <c r="B32" s="23" t="s">
        <v>2548</v>
      </c>
      <c r="C32" s="23" t="s">
        <v>2392</v>
      </c>
      <c r="D32" s="23" t="s">
        <v>2361</v>
      </c>
      <c r="E32" s="23" t="s">
        <v>155</v>
      </c>
      <c r="F32" s="23" t="s">
        <v>464</v>
      </c>
      <c r="G32" s="23" t="s">
        <v>2450</v>
      </c>
      <c r="H32" s="23" t="s">
        <v>2549</v>
      </c>
      <c r="I32" s="23" t="s">
        <v>2468</v>
      </c>
      <c r="J32" s="23" t="s">
        <v>2505</v>
      </c>
      <c r="K32" s="23" t="s">
        <v>2318</v>
      </c>
      <c r="L32" s="23" t="s">
        <v>2495</v>
      </c>
      <c r="M32" s="23" t="s">
        <v>227</v>
      </c>
      <c r="N32" s="23" t="s">
        <v>251</v>
      </c>
      <c r="O32" s="23" t="s">
        <v>252</v>
      </c>
      <c r="P32" s="23" t="s">
        <v>1929</v>
      </c>
      <c r="Q32" s="23" t="s">
        <v>2550</v>
      </c>
      <c r="R32" s="23" t="s">
        <v>2479</v>
      </c>
      <c r="S32" s="23" t="s">
        <v>2369</v>
      </c>
      <c r="T32" s="23" t="s">
        <v>2409</v>
      </c>
    </row>
    <row r="33" spans="1:20" ht="66" customHeight="1" x14ac:dyDescent="0.3">
      <c r="A33" s="25" t="s">
        <v>2551</v>
      </c>
      <c r="B33" s="23" t="s">
        <v>2552</v>
      </c>
      <c r="C33" s="23" t="s">
        <v>2392</v>
      </c>
      <c r="D33" s="23" t="s">
        <v>2361</v>
      </c>
      <c r="E33" s="23" t="s">
        <v>147</v>
      </c>
      <c r="F33" s="23" t="s">
        <v>464</v>
      </c>
      <c r="G33" s="23" t="s">
        <v>2450</v>
      </c>
      <c r="H33" s="23" t="s">
        <v>2553</v>
      </c>
      <c r="I33" s="23" t="s">
        <v>2468</v>
      </c>
      <c r="J33" s="23" t="s">
        <v>2554</v>
      </c>
      <c r="K33" s="23" t="s">
        <v>2318</v>
      </c>
      <c r="L33" s="23" t="s">
        <v>2470</v>
      </c>
      <c r="M33" s="23" t="s">
        <v>227</v>
      </c>
      <c r="N33" s="23" t="s">
        <v>228</v>
      </c>
      <c r="O33" s="23" t="s">
        <v>229</v>
      </c>
      <c r="P33" s="23" t="s">
        <v>1929</v>
      </c>
      <c r="Q33" s="23" t="s">
        <v>2555</v>
      </c>
      <c r="R33" s="23" t="s">
        <v>2479</v>
      </c>
      <c r="S33" s="23" t="s">
        <v>2369</v>
      </c>
      <c r="T33" s="23" t="s">
        <v>2446</v>
      </c>
    </row>
    <row r="34" spans="1:20" ht="78.75" customHeight="1" x14ac:dyDescent="0.3">
      <c r="A34" s="25" t="s">
        <v>2556</v>
      </c>
      <c r="B34" s="23" t="s">
        <v>2557</v>
      </c>
      <c r="C34" s="23" t="s">
        <v>2392</v>
      </c>
      <c r="D34" s="23" t="s">
        <v>2361</v>
      </c>
      <c r="E34" s="23" t="s">
        <v>142</v>
      </c>
      <c r="F34" s="23" t="s">
        <v>464</v>
      </c>
      <c r="G34" s="23" t="s">
        <v>2558</v>
      </c>
      <c r="H34" s="23" t="s">
        <v>2559</v>
      </c>
      <c r="I34" s="23" t="s">
        <v>2560</v>
      </c>
      <c r="J34" s="23" t="s">
        <v>2561</v>
      </c>
      <c r="K34" s="23" t="s">
        <v>2318</v>
      </c>
      <c r="L34" s="23" t="s">
        <v>2470</v>
      </c>
      <c r="M34" s="23" t="s">
        <v>227</v>
      </c>
      <c r="N34" s="23" t="s">
        <v>228</v>
      </c>
      <c r="O34" s="23" t="s">
        <v>229</v>
      </c>
      <c r="P34" s="23" t="s">
        <v>1909</v>
      </c>
      <c r="Q34" s="23" t="s">
        <v>2562</v>
      </c>
      <c r="R34" s="23" t="s">
        <v>2563</v>
      </c>
      <c r="S34" s="23" t="s">
        <v>2369</v>
      </c>
      <c r="T34" s="23" t="s">
        <v>2446</v>
      </c>
    </row>
    <row r="35" spans="1:20" ht="78.75" customHeight="1" x14ac:dyDescent="0.3">
      <c r="A35" s="25" t="s">
        <v>2564</v>
      </c>
      <c r="B35" s="23" t="s">
        <v>2565</v>
      </c>
      <c r="C35" s="23" t="s">
        <v>2392</v>
      </c>
      <c r="D35" s="23" t="s">
        <v>2361</v>
      </c>
      <c r="E35" s="23" t="s">
        <v>147</v>
      </c>
      <c r="F35" s="23" t="s">
        <v>464</v>
      </c>
      <c r="G35" s="23" t="s">
        <v>2558</v>
      </c>
      <c r="H35" s="23" t="s">
        <v>2566</v>
      </c>
      <c r="I35" s="23" t="s">
        <v>2560</v>
      </c>
      <c r="J35" s="23" t="s">
        <v>2567</v>
      </c>
      <c r="K35" s="23" t="s">
        <v>2318</v>
      </c>
      <c r="L35" s="23" t="s">
        <v>2470</v>
      </c>
      <c r="M35" s="23" t="s">
        <v>227</v>
      </c>
      <c r="N35" s="23" t="s">
        <v>228</v>
      </c>
      <c r="O35" s="23" t="s">
        <v>229</v>
      </c>
      <c r="P35" s="23" t="s">
        <v>1929</v>
      </c>
      <c r="Q35" s="23" t="s">
        <v>2568</v>
      </c>
      <c r="R35" s="23" t="s">
        <v>2563</v>
      </c>
      <c r="S35" s="23" t="s">
        <v>2369</v>
      </c>
      <c r="T35" s="23" t="s">
        <v>2446</v>
      </c>
    </row>
    <row r="36" spans="1:20" ht="78.75" customHeight="1" x14ac:dyDescent="0.3">
      <c r="A36" s="25" t="s">
        <v>2569</v>
      </c>
      <c r="B36" s="23" t="s">
        <v>2570</v>
      </c>
      <c r="C36" s="23" t="s">
        <v>2392</v>
      </c>
      <c r="D36" s="23" t="s">
        <v>2361</v>
      </c>
      <c r="E36" s="23" t="s">
        <v>147</v>
      </c>
      <c r="F36" s="23" t="s">
        <v>464</v>
      </c>
      <c r="G36" s="23" t="s">
        <v>2571</v>
      </c>
      <c r="H36" s="23" t="s">
        <v>2572</v>
      </c>
      <c r="I36" s="23" t="s">
        <v>2560</v>
      </c>
      <c r="J36" s="23" t="s">
        <v>2573</v>
      </c>
      <c r="K36" s="23" t="s">
        <v>2318</v>
      </c>
      <c r="L36" s="23" t="s">
        <v>2470</v>
      </c>
      <c r="M36" s="23" t="s">
        <v>227</v>
      </c>
      <c r="N36" s="23" t="s">
        <v>228</v>
      </c>
      <c r="O36" s="23" t="s">
        <v>229</v>
      </c>
      <c r="P36" s="23" t="s">
        <v>1909</v>
      </c>
      <c r="Q36" s="23" t="s">
        <v>2574</v>
      </c>
      <c r="R36" s="23" t="s">
        <v>2563</v>
      </c>
      <c r="S36" s="23" t="s">
        <v>2369</v>
      </c>
      <c r="T36" s="23" t="s">
        <v>2446</v>
      </c>
    </row>
    <row r="37" spans="1:20" ht="66" customHeight="1" x14ac:dyDescent="0.3">
      <c r="A37" s="25" t="s">
        <v>2575</v>
      </c>
      <c r="B37" s="23" t="s">
        <v>2576</v>
      </c>
      <c r="C37" s="23" t="s">
        <v>2392</v>
      </c>
      <c r="D37" s="23" t="s">
        <v>2361</v>
      </c>
      <c r="E37" s="23" t="s">
        <v>142</v>
      </c>
      <c r="F37" s="23" t="s">
        <v>464</v>
      </c>
      <c r="G37" s="23" t="s">
        <v>2450</v>
      </c>
      <c r="H37" s="23" t="s">
        <v>2577</v>
      </c>
      <c r="I37" s="23" t="s">
        <v>2578</v>
      </c>
      <c r="J37" s="23" t="s">
        <v>2579</v>
      </c>
      <c r="K37" s="23" t="s">
        <v>2318</v>
      </c>
      <c r="L37" s="23" t="s">
        <v>2470</v>
      </c>
      <c r="M37" s="23" t="s">
        <v>227</v>
      </c>
      <c r="N37" s="23" t="s">
        <v>228</v>
      </c>
      <c r="O37" s="23" t="s">
        <v>229</v>
      </c>
      <c r="P37" s="23" t="s">
        <v>1909</v>
      </c>
      <c r="Q37" s="23" t="s">
        <v>2580</v>
      </c>
      <c r="R37" s="23" t="s">
        <v>2581</v>
      </c>
      <c r="S37" s="23" t="s">
        <v>2369</v>
      </c>
      <c r="T37" s="23" t="s">
        <v>2446</v>
      </c>
    </row>
    <row r="38" spans="1:20" ht="78.75" customHeight="1" x14ac:dyDescent="0.3">
      <c r="A38" s="25" t="s">
        <v>2582</v>
      </c>
      <c r="B38" s="23" t="s">
        <v>2583</v>
      </c>
      <c r="C38" s="23" t="s">
        <v>2392</v>
      </c>
      <c r="D38" s="23" t="s">
        <v>2361</v>
      </c>
      <c r="E38" s="23" t="s">
        <v>155</v>
      </c>
      <c r="F38" s="23" t="s">
        <v>464</v>
      </c>
      <c r="G38" s="23" t="s">
        <v>2450</v>
      </c>
      <c r="H38" s="23" t="s">
        <v>2584</v>
      </c>
      <c r="I38" s="23" t="s">
        <v>2468</v>
      </c>
      <c r="J38" s="23" t="s">
        <v>2585</v>
      </c>
      <c r="K38" s="23" t="s">
        <v>2318</v>
      </c>
      <c r="L38" s="23" t="s">
        <v>2495</v>
      </c>
      <c r="M38" s="23" t="s">
        <v>227</v>
      </c>
      <c r="N38" s="23" t="s">
        <v>251</v>
      </c>
      <c r="O38" s="23" t="s">
        <v>252</v>
      </c>
      <c r="P38" s="23" t="s">
        <v>1928</v>
      </c>
      <c r="Q38" s="23" t="s">
        <v>2586</v>
      </c>
      <c r="R38" s="23" t="s">
        <v>2479</v>
      </c>
      <c r="S38" s="23" t="s">
        <v>2369</v>
      </c>
      <c r="T38" s="23" t="s">
        <v>2409</v>
      </c>
    </row>
    <row r="39" spans="1:20" ht="66" customHeight="1" x14ac:dyDescent="0.3">
      <c r="A39" s="25" t="s">
        <v>2587</v>
      </c>
      <c r="B39" s="23" t="s">
        <v>2588</v>
      </c>
      <c r="C39" s="23" t="s">
        <v>2392</v>
      </c>
      <c r="D39" s="23" t="s">
        <v>2361</v>
      </c>
      <c r="E39" s="23" t="s">
        <v>147</v>
      </c>
      <c r="F39" s="23" t="s">
        <v>672</v>
      </c>
      <c r="G39" s="23" t="s">
        <v>2589</v>
      </c>
      <c r="H39" s="23" t="s">
        <v>2590</v>
      </c>
      <c r="I39" s="23" t="s">
        <v>2433</v>
      </c>
      <c r="J39" s="23" t="s">
        <v>2591</v>
      </c>
      <c r="K39" s="23" t="s">
        <v>2318</v>
      </c>
      <c r="L39" s="23" t="s">
        <v>2477</v>
      </c>
      <c r="M39" s="23" t="s">
        <v>227</v>
      </c>
      <c r="N39" s="23" t="s">
        <v>228</v>
      </c>
      <c r="O39" s="23" t="s">
        <v>229</v>
      </c>
      <c r="P39" s="23" t="s">
        <v>672</v>
      </c>
      <c r="Q39" s="23" t="s">
        <v>2592</v>
      </c>
      <c r="R39" s="23" t="s">
        <v>2445</v>
      </c>
      <c r="S39" s="23" t="s">
        <v>2369</v>
      </c>
      <c r="T39" s="23" t="s">
        <v>2446</v>
      </c>
    </row>
    <row r="40" spans="1:20" ht="66" customHeight="1" x14ac:dyDescent="0.3">
      <c r="A40" s="25" t="s">
        <v>2593</v>
      </c>
      <c r="B40" s="23" t="s">
        <v>2594</v>
      </c>
      <c r="C40" s="23" t="s">
        <v>2392</v>
      </c>
      <c r="D40" s="23" t="s">
        <v>2361</v>
      </c>
      <c r="E40" s="23" t="s">
        <v>142</v>
      </c>
      <c r="F40" s="23" t="s">
        <v>672</v>
      </c>
      <c r="G40" s="23" t="s">
        <v>2595</v>
      </c>
      <c r="H40" s="23" t="s">
        <v>2596</v>
      </c>
      <c r="I40" s="23" t="s">
        <v>2578</v>
      </c>
      <c r="J40" s="23" t="s">
        <v>2597</v>
      </c>
      <c r="K40" s="23" t="s">
        <v>2318</v>
      </c>
      <c r="L40" s="23" t="s">
        <v>2477</v>
      </c>
      <c r="M40" s="23" t="s">
        <v>227</v>
      </c>
      <c r="N40" s="23" t="s">
        <v>228</v>
      </c>
      <c r="O40" s="23" t="s">
        <v>229</v>
      </c>
      <c r="P40" s="23" t="s">
        <v>672</v>
      </c>
      <c r="Q40" s="23" t="s">
        <v>2592</v>
      </c>
      <c r="R40" s="23" t="s">
        <v>2598</v>
      </c>
      <c r="S40" s="23" t="s">
        <v>2369</v>
      </c>
      <c r="T40" s="23" t="s">
        <v>2446</v>
      </c>
    </row>
    <row r="41" spans="1:20" ht="120" customHeight="1" x14ac:dyDescent="0.3">
      <c r="A41" s="25" t="s">
        <v>2599</v>
      </c>
      <c r="B41" s="23" t="s">
        <v>2600</v>
      </c>
      <c r="C41" s="23" t="s">
        <v>2392</v>
      </c>
      <c r="D41" s="23" t="s">
        <v>2383</v>
      </c>
      <c r="E41" s="23" t="s">
        <v>142</v>
      </c>
      <c r="F41" s="23" t="s">
        <v>236</v>
      </c>
      <c r="G41" s="23" t="s">
        <v>2601</v>
      </c>
      <c r="H41" s="23" t="s">
        <v>2602</v>
      </c>
      <c r="I41" s="23" t="s">
        <v>2364</v>
      </c>
      <c r="J41" s="23" t="s">
        <v>2603</v>
      </c>
      <c r="K41" s="23" t="s">
        <v>2321</v>
      </c>
      <c r="L41" s="23" t="s">
        <v>2366</v>
      </c>
      <c r="M41" s="23" t="s">
        <v>227</v>
      </c>
      <c r="N41" s="23" t="s">
        <v>228</v>
      </c>
      <c r="O41" s="23" t="s">
        <v>229</v>
      </c>
      <c r="P41" s="23" t="s">
        <v>1909</v>
      </c>
      <c r="Q41" s="23" t="s">
        <v>2604</v>
      </c>
      <c r="R41" s="23" t="s">
        <v>2368</v>
      </c>
      <c r="S41" s="23" t="s">
        <v>2369</v>
      </c>
      <c r="T41" s="23" t="s">
        <v>2605</v>
      </c>
    </row>
    <row r="42" spans="1:20" ht="120" customHeight="1" x14ac:dyDescent="0.3">
      <c r="A42" s="25" t="s">
        <v>2606</v>
      </c>
      <c r="B42" s="23" t="s">
        <v>2607</v>
      </c>
      <c r="C42" s="23" t="s">
        <v>2392</v>
      </c>
      <c r="D42" s="23" t="s">
        <v>2383</v>
      </c>
      <c r="E42" s="23" t="s">
        <v>147</v>
      </c>
      <c r="F42" s="23" t="s">
        <v>2449</v>
      </c>
      <c r="G42" s="23" t="s">
        <v>2601</v>
      </c>
      <c r="H42" s="23" t="s">
        <v>2602</v>
      </c>
      <c r="I42" s="23" t="s">
        <v>2364</v>
      </c>
      <c r="J42" s="23" t="s">
        <v>2608</v>
      </c>
      <c r="K42" s="23" t="s">
        <v>2321</v>
      </c>
      <c r="L42" s="23" t="s">
        <v>2609</v>
      </c>
      <c r="M42" s="23" t="s">
        <v>227</v>
      </c>
      <c r="N42" s="23" t="s">
        <v>228</v>
      </c>
      <c r="O42" s="23" t="s">
        <v>229</v>
      </c>
      <c r="P42" s="23" t="s">
        <v>1830</v>
      </c>
      <c r="Q42" s="23" t="s">
        <v>2604</v>
      </c>
      <c r="R42" s="23" t="s">
        <v>2368</v>
      </c>
      <c r="S42" s="23" t="s">
        <v>2369</v>
      </c>
      <c r="T42" s="23" t="s">
        <v>2605</v>
      </c>
    </row>
    <row r="43" spans="1:20" ht="120" customHeight="1" x14ac:dyDescent="0.3">
      <c r="A43" s="25" t="s">
        <v>2610</v>
      </c>
      <c r="B43" s="23" t="s">
        <v>2611</v>
      </c>
      <c r="C43" s="23" t="s">
        <v>2392</v>
      </c>
      <c r="D43" s="23" t="s">
        <v>2383</v>
      </c>
      <c r="E43" s="23" t="s">
        <v>147</v>
      </c>
      <c r="F43" s="23" t="s">
        <v>236</v>
      </c>
      <c r="G43" s="23" t="s">
        <v>2601</v>
      </c>
      <c r="H43" s="23" t="s">
        <v>2612</v>
      </c>
      <c r="I43" s="23" t="s">
        <v>2364</v>
      </c>
      <c r="J43" s="23" t="s">
        <v>2613</v>
      </c>
      <c r="K43" s="23" t="s">
        <v>2321</v>
      </c>
      <c r="L43" s="23" t="s">
        <v>2614</v>
      </c>
      <c r="M43" s="23" t="s">
        <v>227</v>
      </c>
      <c r="N43" s="23" t="s">
        <v>228</v>
      </c>
      <c r="O43" s="23" t="s">
        <v>229</v>
      </c>
      <c r="P43" s="23" t="s">
        <v>1909</v>
      </c>
      <c r="Q43" s="23" t="s">
        <v>2615</v>
      </c>
      <c r="R43" s="23" t="s">
        <v>2616</v>
      </c>
      <c r="S43" s="23" t="s">
        <v>2369</v>
      </c>
      <c r="T43" s="23" t="s">
        <v>2605</v>
      </c>
    </row>
    <row r="44" spans="1:20" ht="120" customHeight="1" x14ac:dyDescent="0.3">
      <c r="A44" s="25" t="s">
        <v>2617</v>
      </c>
      <c r="B44" s="23" t="s">
        <v>2618</v>
      </c>
      <c r="C44" s="23" t="s">
        <v>2392</v>
      </c>
      <c r="D44" s="23" t="s">
        <v>2383</v>
      </c>
      <c r="E44" s="23" t="s">
        <v>155</v>
      </c>
      <c r="F44" s="23" t="s">
        <v>236</v>
      </c>
      <c r="G44" s="23" t="s">
        <v>2601</v>
      </c>
      <c r="H44" s="23" t="s">
        <v>2619</v>
      </c>
      <c r="I44" s="23" t="s">
        <v>2364</v>
      </c>
      <c r="J44" s="23" t="s">
        <v>2620</v>
      </c>
      <c r="K44" s="23" t="s">
        <v>2321</v>
      </c>
      <c r="L44" s="23" t="s">
        <v>2495</v>
      </c>
      <c r="M44" s="23" t="s">
        <v>227</v>
      </c>
      <c r="N44" s="23" t="s">
        <v>251</v>
      </c>
      <c r="O44" s="23" t="s">
        <v>252</v>
      </c>
      <c r="P44" s="23" t="s">
        <v>1909</v>
      </c>
      <c r="Q44" s="23" t="s">
        <v>2615</v>
      </c>
      <c r="R44" s="23" t="s">
        <v>2368</v>
      </c>
      <c r="S44" s="23" t="s">
        <v>2369</v>
      </c>
      <c r="T44" s="23" t="s">
        <v>2409</v>
      </c>
    </row>
    <row r="45" spans="1:20" ht="120" customHeight="1" x14ac:dyDescent="0.3">
      <c r="A45" s="25" t="s">
        <v>2621</v>
      </c>
      <c r="B45" s="23" t="s">
        <v>2622</v>
      </c>
      <c r="C45" s="23" t="s">
        <v>2392</v>
      </c>
      <c r="D45" s="23" t="s">
        <v>2383</v>
      </c>
      <c r="E45" s="23" t="s">
        <v>155</v>
      </c>
      <c r="F45" s="23" t="s">
        <v>236</v>
      </c>
      <c r="G45" s="23" t="s">
        <v>2601</v>
      </c>
      <c r="H45" s="23" t="s">
        <v>2623</v>
      </c>
      <c r="I45" s="23" t="s">
        <v>2364</v>
      </c>
      <c r="J45" s="23" t="s">
        <v>2624</v>
      </c>
      <c r="K45" s="23" t="s">
        <v>2321</v>
      </c>
      <c r="L45" s="23" t="s">
        <v>2495</v>
      </c>
      <c r="M45" s="23" t="s">
        <v>227</v>
      </c>
      <c r="N45" s="23" t="s">
        <v>251</v>
      </c>
      <c r="O45" s="23" t="s">
        <v>252</v>
      </c>
      <c r="P45" s="23" t="s">
        <v>1909</v>
      </c>
      <c r="Q45" s="23" t="s">
        <v>2625</v>
      </c>
      <c r="R45" s="23" t="s">
        <v>2368</v>
      </c>
      <c r="S45" s="23" t="s">
        <v>2369</v>
      </c>
      <c r="T45" s="23" t="s">
        <v>2409</v>
      </c>
    </row>
    <row r="46" spans="1:20" ht="120" customHeight="1" x14ac:dyDescent="0.3">
      <c r="A46" s="25" t="s">
        <v>2626</v>
      </c>
      <c r="B46" s="23" t="s">
        <v>2627</v>
      </c>
      <c r="C46" s="23" t="s">
        <v>2392</v>
      </c>
      <c r="D46" s="23" t="s">
        <v>2383</v>
      </c>
      <c r="E46" s="23" t="s">
        <v>147</v>
      </c>
      <c r="F46" s="23" t="s">
        <v>236</v>
      </c>
      <c r="G46" s="23" t="s">
        <v>2601</v>
      </c>
      <c r="H46" s="23" t="s">
        <v>2628</v>
      </c>
      <c r="I46" s="23" t="s">
        <v>2364</v>
      </c>
      <c r="J46" s="23" t="s">
        <v>2629</v>
      </c>
      <c r="K46" s="23" t="s">
        <v>2321</v>
      </c>
      <c r="L46" s="23" t="s">
        <v>2366</v>
      </c>
      <c r="M46" s="23" t="s">
        <v>227</v>
      </c>
      <c r="N46" s="23" t="s">
        <v>228</v>
      </c>
      <c r="O46" s="23" t="s">
        <v>229</v>
      </c>
      <c r="P46" s="23" t="s">
        <v>1909</v>
      </c>
      <c r="Q46" s="23" t="s">
        <v>2630</v>
      </c>
      <c r="R46" s="23" t="s">
        <v>2368</v>
      </c>
      <c r="S46" s="23" t="s">
        <v>2369</v>
      </c>
      <c r="T46" s="23" t="s">
        <v>2605</v>
      </c>
    </row>
    <row r="47" spans="1:20" ht="120" customHeight="1" x14ac:dyDescent="0.3">
      <c r="A47" s="25" t="s">
        <v>2631</v>
      </c>
      <c r="B47" s="23" t="s">
        <v>2632</v>
      </c>
      <c r="C47" s="23" t="s">
        <v>2392</v>
      </c>
      <c r="D47" s="23" t="s">
        <v>2383</v>
      </c>
      <c r="E47" s="23" t="s">
        <v>155</v>
      </c>
      <c r="F47" s="23" t="s">
        <v>236</v>
      </c>
      <c r="G47" s="23" t="s">
        <v>2601</v>
      </c>
      <c r="H47" s="23" t="s">
        <v>2633</v>
      </c>
      <c r="I47" s="23" t="s">
        <v>2364</v>
      </c>
      <c r="J47" s="23" t="s">
        <v>2634</v>
      </c>
      <c r="K47" s="23" t="s">
        <v>2321</v>
      </c>
      <c r="L47" s="23" t="s">
        <v>2495</v>
      </c>
      <c r="M47" s="23" t="s">
        <v>227</v>
      </c>
      <c r="N47" s="23" t="s">
        <v>251</v>
      </c>
      <c r="O47" s="23" t="s">
        <v>252</v>
      </c>
      <c r="P47" s="23" t="s">
        <v>1909</v>
      </c>
      <c r="Q47" s="23" t="s">
        <v>2630</v>
      </c>
      <c r="R47" s="23" t="s">
        <v>2368</v>
      </c>
      <c r="S47" s="23" t="s">
        <v>2369</v>
      </c>
      <c r="T47" s="23" t="s">
        <v>2409</v>
      </c>
    </row>
    <row r="48" spans="1:20" ht="120" customHeight="1" x14ac:dyDescent="0.3">
      <c r="A48" s="25" t="s">
        <v>2635</v>
      </c>
      <c r="B48" s="23" t="s">
        <v>2636</v>
      </c>
      <c r="C48" s="23" t="s">
        <v>2392</v>
      </c>
      <c r="D48" s="23" t="s">
        <v>2383</v>
      </c>
      <c r="E48" s="23" t="s">
        <v>147</v>
      </c>
      <c r="F48" s="23" t="s">
        <v>236</v>
      </c>
      <c r="G48" s="23" t="s">
        <v>2601</v>
      </c>
      <c r="H48" s="23" t="s">
        <v>2637</v>
      </c>
      <c r="I48" s="23" t="s">
        <v>2364</v>
      </c>
      <c r="J48" s="23" t="s">
        <v>2638</v>
      </c>
      <c r="K48" s="23" t="s">
        <v>2321</v>
      </c>
      <c r="L48" s="23" t="s">
        <v>2366</v>
      </c>
      <c r="M48" s="23" t="s">
        <v>227</v>
      </c>
      <c r="N48" s="23" t="s">
        <v>228</v>
      </c>
      <c r="O48" s="23" t="s">
        <v>229</v>
      </c>
      <c r="P48" s="23" t="s">
        <v>1909</v>
      </c>
      <c r="Q48" s="23" t="s">
        <v>2639</v>
      </c>
      <c r="R48" s="23" t="s">
        <v>2368</v>
      </c>
      <c r="S48" s="23" t="s">
        <v>2369</v>
      </c>
      <c r="T48" s="23" t="s">
        <v>2605</v>
      </c>
    </row>
    <row r="49" spans="1:20" ht="120" customHeight="1" x14ac:dyDescent="0.3">
      <c r="A49" s="25" t="s">
        <v>2640</v>
      </c>
      <c r="B49" s="23" t="s">
        <v>2641</v>
      </c>
      <c r="C49" s="23" t="s">
        <v>2392</v>
      </c>
      <c r="D49" s="23" t="s">
        <v>2383</v>
      </c>
      <c r="E49" s="23" t="s">
        <v>147</v>
      </c>
      <c r="F49" s="23" t="s">
        <v>236</v>
      </c>
      <c r="G49" s="23" t="s">
        <v>2601</v>
      </c>
      <c r="H49" s="23" t="s">
        <v>2642</v>
      </c>
      <c r="I49" s="23" t="s">
        <v>2364</v>
      </c>
      <c r="J49" s="23" t="s">
        <v>2643</v>
      </c>
      <c r="K49" s="23" t="s">
        <v>2321</v>
      </c>
      <c r="L49" s="23" t="s">
        <v>2366</v>
      </c>
      <c r="M49" s="23" t="s">
        <v>227</v>
      </c>
      <c r="N49" s="23" t="s">
        <v>228</v>
      </c>
      <c r="O49" s="23" t="s">
        <v>229</v>
      </c>
      <c r="P49" s="23" t="s">
        <v>2377</v>
      </c>
      <c r="Q49" s="23" t="s">
        <v>2639</v>
      </c>
      <c r="R49" s="23" t="s">
        <v>2644</v>
      </c>
      <c r="S49" s="23" t="s">
        <v>2369</v>
      </c>
      <c r="T49" s="23" t="s">
        <v>2605</v>
      </c>
    </row>
    <row r="50" spans="1:20" ht="120" customHeight="1" x14ac:dyDescent="0.3">
      <c r="A50" s="25" t="s">
        <v>2645</v>
      </c>
      <c r="B50" s="23" t="s">
        <v>2646</v>
      </c>
      <c r="C50" s="23" t="s">
        <v>2392</v>
      </c>
      <c r="D50" s="23" t="s">
        <v>2383</v>
      </c>
      <c r="E50" s="23" t="s">
        <v>155</v>
      </c>
      <c r="F50" s="23" t="s">
        <v>236</v>
      </c>
      <c r="G50" s="23" t="s">
        <v>2601</v>
      </c>
      <c r="H50" s="23" t="s">
        <v>2647</v>
      </c>
      <c r="I50" s="23" t="s">
        <v>2364</v>
      </c>
      <c r="J50" s="23" t="s">
        <v>2648</v>
      </c>
      <c r="K50" s="23" t="s">
        <v>2321</v>
      </c>
      <c r="L50" s="23" t="s">
        <v>2495</v>
      </c>
      <c r="M50" s="23" t="s">
        <v>227</v>
      </c>
      <c r="N50" s="23" t="s">
        <v>251</v>
      </c>
      <c r="O50" s="23" t="s">
        <v>252</v>
      </c>
      <c r="P50" s="23" t="s">
        <v>1909</v>
      </c>
      <c r="Q50" s="23" t="s">
        <v>2639</v>
      </c>
      <c r="R50" s="23" t="s">
        <v>2368</v>
      </c>
      <c r="S50" s="23" t="s">
        <v>2369</v>
      </c>
      <c r="T50" s="23" t="s">
        <v>2409</v>
      </c>
    </row>
    <row r="51" spans="1:20" ht="120" customHeight="1" x14ac:dyDescent="0.3">
      <c r="A51" s="25" t="s">
        <v>2649</v>
      </c>
      <c r="B51" s="23" t="s">
        <v>2650</v>
      </c>
      <c r="C51" s="23" t="s">
        <v>2392</v>
      </c>
      <c r="D51" s="23" t="s">
        <v>2383</v>
      </c>
      <c r="E51" s="23" t="s">
        <v>147</v>
      </c>
      <c r="F51" s="23" t="s">
        <v>236</v>
      </c>
      <c r="G51" s="23" t="s">
        <v>2601</v>
      </c>
      <c r="H51" s="23" t="s">
        <v>2651</v>
      </c>
      <c r="I51" s="23" t="s">
        <v>2364</v>
      </c>
      <c r="J51" s="23" t="s">
        <v>2652</v>
      </c>
      <c r="K51" s="23" t="s">
        <v>2321</v>
      </c>
      <c r="L51" s="23" t="s">
        <v>2366</v>
      </c>
      <c r="M51" s="23" t="s">
        <v>227</v>
      </c>
      <c r="N51" s="23" t="s">
        <v>228</v>
      </c>
      <c r="O51" s="23" t="s">
        <v>229</v>
      </c>
      <c r="P51" s="23" t="s">
        <v>1909</v>
      </c>
      <c r="Q51" s="23" t="s">
        <v>2653</v>
      </c>
      <c r="R51" s="23" t="s">
        <v>2368</v>
      </c>
      <c r="S51" s="23" t="s">
        <v>2369</v>
      </c>
      <c r="T51" s="23" t="s">
        <v>2409</v>
      </c>
    </row>
    <row r="52" spans="1:20" ht="120" customHeight="1" x14ac:dyDescent="0.3">
      <c r="A52" s="25" t="s">
        <v>2654</v>
      </c>
      <c r="B52" s="23" t="s">
        <v>2655</v>
      </c>
      <c r="C52" s="23" t="s">
        <v>2392</v>
      </c>
      <c r="D52" s="23" t="s">
        <v>2383</v>
      </c>
      <c r="E52" s="23" t="s">
        <v>155</v>
      </c>
      <c r="F52" s="23" t="s">
        <v>672</v>
      </c>
      <c r="G52" s="23" t="s">
        <v>2601</v>
      </c>
      <c r="H52" s="23" t="s">
        <v>2656</v>
      </c>
      <c r="I52" s="23" t="s">
        <v>2364</v>
      </c>
      <c r="J52" s="23" t="s">
        <v>2657</v>
      </c>
      <c r="K52" s="23" t="s">
        <v>2321</v>
      </c>
      <c r="L52" s="23" t="s">
        <v>2495</v>
      </c>
      <c r="M52" s="23" t="s">
        <v>227</v>
      </c>
      <c r="N52" s="23" t="s">
        <v>251</v>
      </c>
      <c r="O52" s="23" t="s">
        <v>252</v>
      </c>
      <c r="P52" s="23" t="s">
        <v>672</v>
      </c>
      <c r="Q52" s="23" t="s">
        <v>2658</v>
      </c>
      <c r="R52" s="23" t="s">
        <v>2368</v>
      </c>
      <c r="S52" s="23" t="s">
        <v>2369</v>
      </c>
      <c r="T52" s="23" t="s">
        <v>2409</v>
      </c>
    </row>
    <row r="53" spans="1:20" ht="120" customHeight="1" x14ac:dyDescent="0.3">
      <c r="A53" s="25" t="s">
        <v>2659</v>
      </c>
      <c r="B53" s="23" t="s">
        <v>2660</v>
      </c>
      <c r="C53" s="23" t="s">
        <v>2392</v>
      </c>
      <c r="D53" s="23" t="s">
        <v>2383</v>
      </c>
      <c r="E53" s="23" t="s">
        <v>147</v>
      </c>
      <c r="F53" s="23" t="s">
        <v>672</v>
      </c>
      <c r="G53" s="23" t="s">
        <v>2601</v>
      </c>
      <c r="H53" s="23" t="s">
        <v>2661</v>
      </c>
      <c r="I53" s="23" t="s">
        <v>2468</v>
      </c>
      <c r="J53" s="23" t="s">
        <v>2662</v>
      </c>
      <c r="K53" s="23" t="s">
        <v>2321</v>
      </c>
      <c r="L53" s="23" t="s">
        <v>2477</v>
      </c>
      <c r="M53" s="23" t="s">
        <v>227</v>
      </c>
      <c r="N53" s="23" t="s">
        <v>228</v>
      </c>
      <c r="O53" s="23" t="s">
        <v>229</v>
      </c>
      <c r="P53" s="23" t="s">
        <v>672</v>
      </c>
      <c r="Q53" s="23" t="s">
        <v>2663</v>
      </c>
      <c r="R53" s="23" t="s">
        <v>2479</v>
      </c>
      <c r="S53" s="23" t="s">
        <v>2369</v>
      </c>
      <c r="T53" s="23" t="s">
        <v>2605</v>
      </c>
    </row>
    <row r="54" spans="1:20" ht="120" customHeight="1" x14ac:dyDescent="0.3">
      <c r="A54" s="25" t="s">
        <v>2664</v>
      </c>
      <c r="B54" s="23" t="s">
        <v>2665</v>
      </c>
      <c r="C54" s="23" t="s">
        <v>2392</v>
      </c>
      <c r="D54" s="23" t="s">
        <v>2383</v>
      </c>
      <c r="E54" s="23" t="s">
        <v>147</v>
      </c>
      <c r="F54" s="23" t="s">
        <v>236</v>
      </c>
      <c r="G54" s="23" t="s">
        <v>2601</v>
      </c>
      <c r="H54" s="23" t="s">
        <v>2666</v>
      </c>
      <c r="I54" s="23" t="s">
        <v>2364</v>
      </c>
      <c r="J54" s="23" t="s">
        <v>2667</v>
      </c>
      <c r="K54" s="23" t="s">
        <v>2321</v>
      </c>
      <c r="L54" s="23" t="s">
        <v>2366</v>
      </c>
      <c r="M54" s="23" t="s">
        <v>227</v>
      </c>
      <c r="N54" s="23" t="s">
        <v>228</v>
      </c>
      <c r="O54" s="23" t="s">
        <v>229</v>
      </c>
      <c r="P54" s="23" t="s">
        <v>1909</v>
      </c>
      <c r="Q54" s="23" t="s">
        <v>2668</v>
      </c>
      <c r="R54" s="23" t="s">
        <v>2368</v>
      </c>
      <c r="S54" s="23" t="s">
        <v>2369</v>
      </c>
      <c r="T54" s="23" t="s">
        <v>2409</v>
      </c>
    </row>
    <row r="55" spans="1:20" ht="120" customHeight="1" x14ac:dyDescent="0.3">
      <c r="A55" s="25" t="s">
        <v>2669</v>
      </c>
      <c r="B55" s="23" t="s">
        <v>2670</v>
      </c>
      <c r="C55" s="23" t="s">
        <v>2392</v>
      </c>
      <c r="D55" s="23" t="s">
        <v>2383</v>
      </c>
      <c r="E55" s="23" t="s">
        <v>155</v>
      </c>
      <c r="F55" s="23" t="s">
        <v>236</v>
      </c>
      <c r="G55" s="23" t="s">
        <v>2601</v>
      </c>
      <c r="H55" s="23" t="s">
        <v>2671</v>
      </c>
      <c r="I55" s="23" t="s">
        <v>2364</v>
      </c>
      <c r="J55" s="23" t="s">
        <v>2672</v>
      </c>
      <c r="K55" s="23" t="s">
        <v>2321</v>
      </c>
      <c r="L55" s="23" t="s">
        <v>2495</v>
      </c>
      <c r="M55" s="23" t="s">
        <v>227</v>
      </c>
      <c r="N55" s="23" t="s">
        <v>251</v>
      </c>
      <c r="O55" s="23" t="s">
        <v>252</v>
      </c>
      <c r="P55" s="23" t="s">
        <v>1928</v>
      </c>
      <c r="Q55" s="23" t="s">
        <v>2673</v>
      </c>
      <c r="R55" s="23" t="s">
        <v>2368</v>
      </c>
      <c r="S55" s="23" t="s">
        <v>2369</v>
      </c>
      <c r="T55" s="23" t="s">
        <v>2409</v>
      </c>
    </row>
    <row r="56" spans="1:20" ht="120" customHeight="1" x14ac:dyDescent="0.3">
      <c r="A56" s="25" t="s">
        <v>2674</v>
      </c>
      <c r="B56" s="23" t="s">
        <v>2675</v>
      </c>
      <c r="C56" s="23" t="s">
        <v>2392</v>
      </c>
      <c r="D56" s="23" t="s">
        <v>2383</v>
      </c>
      <c r="E56" s="23" t="s">
        <v>155</v>
      </c>
      <c r="F56" s="23" t="s">
        <v>464</v>
      </c>
      <c r="G56" s="23" t="s">
        <v>2601</v>
      </c>
      <c r="H56" s="23" t="s">
        <v>2676</v>
      </c>
      <c r="I56" s="23" t="s">
        <v>2468</v>
      </c>
      <c r="J56" s="23" t="s">
        <v>2530</v>
      </c>
      <c r="K56" s="23" t="s">
        <v>2321</v>
      </c>
      <c r="L56" s="23" t="s">
        <v>2495</v>
      </c>
      <c r="M56" s="23" t="s">
        <v>227</v>
      </c>
      <c r="N56" s="23" t="s">
        <v>251</v>
      </c>
      <c r="O56" s="23" t="s">
        <v>252</v>
      </c>
      <c r="P56" s="23" t="s">
        <v>1909</v>
      </c>
      <c r="Q56" s="23" t="s">
        <v>2677</v>
      </c>
      <c r="R56" s="23" t="s">
        <v>2479</v>
      </c>
      <c r="S56" s="23" t="s">
        <v>2369</v>
      </c>
      <c r="T56" s="23" t="s">
        <v>2409</v>
      </c>
    </row>
    <row r="57" spans="1:20" ht="120" customHeight="1" x14ac:dyDescent="0.3">
      <c r="A57" s="25" t="s">
        <v>2678</v>
      </c>
      <c r="B57" s="23" t="s">
        <v>2679</v>
      </c>
      <c r="C57" s="23" t="s">
        <v>2392</v>
      </c>
      <c r="D57" s="23" t="s">
        <v>2383</v>
      </c>
      <c r="E57" s="23" t="s">
        <v>155</v>
      </c>
      <c r="F57" s="23" t="s">
        <v>464</v>
      </c>
      <c r="G57" s="23" t="s">
        <v>2601</v>
      </c>
      <c r="H57" s="23" t="s">
        <v>2680</v>
      </c>
      <c r="I57" s="23" t="s">
        <v>2468</v>
      </c>
      <c r="J57" s="23" t="s">
        <v>2681</v>
      </c>
      <c r="K57" s="23" t="s">
        <v>2321</v>
      </c>
      <c r="L57" s="23" t="s">
        <v>2495</v>
      </c>
      <c r="M57" s="23" t="s">
        <v>227</v>
      </c>
      <c r="N57" s="23" t="s">
        <v>251</v>
      </c>
      <c r="O57" s="23" t="s">
        <v>252</v>
      </c>
      <c r="P57" s="23" t="s">
        <v>1909</v>
      </c>
      <c r="Q57" s="23" t="s">
        <v>2677</v>
      </c>
      <c r="R57" s="23" t="s">
        <v>2479</v>
      </c>
      <c r="S57" s="23" t="s">
        <v>2369</v>
      </c>
      <c r="T57" s="23" t="s">
        <v>2409</v>
      </c>
    </row>
    <row r="58" spans="1:20" ht="120" customHeight="1" x14ac:dyDescent="0.3">
      <c r="A58" s="25" t="s">
        <v>2682</v>
      </c>
      <c r="B58" s="23" t="s">
        <v>2683</v>
      </c>
      <c r="C58" s="23" t="s">
        <v>2392</v>
      </c>
      <c r="D58" s="23" t="s">
        <v>2383</v>
      </c>
      <c r="E58" s="23" t="s">
        <v>155</v>
      </c>
      <c r="F58" s="23" t="s">
        <v>464</v>
      </c>
      <c r="G58" s="23" t="s">
        <v>2601</v>
      </c>
      <c r="H58" s="23" t="s">
        <v>2684</v>
      </c>
      <c r="I58" s="23" t="s">
        <v>2468</v>
      </c>
      <c r="J58" s="23" t="s">
        <v>2685</v>
      </c>
      <c r="K58" s="23" t="s">
        <v>2321</v>
      </c>
      <c r="L58" s="23" t="s">
        <v>2495</v>
      </c>
      <c r="M58" s="23" t="s">
        <v>227</v>
      </c>
      <c r="N58" s="23" t="s">
        <v>251</v>
      </c>
      <c r="O58" s="23" t="s">
        <v>252</v>
      </c>
      <c r="P58" s="23" t="s">
        <v>1909</v>
      </c>
      <c r="Q58" s="23" t="s">
        <v>2677</v>
      </c>
      <c r="R58" s="23" t="s">
        <v>2479</v>
      </c>
      <c r="S58" s="23" t="s">
        <v>2369</v>
      </c>
      <c r="T58" s="23" t="s">
        <v>2409</v>
      </c>
    </row>
    <row r="59" spans="1:20" ht="78.75" customHeight="1" x14ac:dyDescent="0.3">
      <c r="A59" s="25" t="s">
        <v>2686</v>
      </c>
      <c r="B59" s="23" t="s">
        <v>2687</v>
      </c>
      <c r="C59" s="23" t="s">
        <v>2392</v>
      </c>
      <c r="D59" s="23" t="s">
        <v>2383</v>
      </c>
      <c r="E59" s="23" t="s">
        <v>155</v>
      </c>
      <c r="F59" s="23" t="s">
        <v>236</v>
      </c>
      <c r="G59" s="23" t="s">
        <v>2688</v>
      </c>
      <c r="H59" s="23" t="s">
        <v>2602</v>
      </c>
      <c r="I59" s="23" t="s">
        <v>2364</v>
      </c>
      <c r="J59" s="23" t="s">
        <v>2689</v>
      </c>
      <c r="K59" s="23" t="s">
        <v>2321</v>
      </c>
      <c r="L59" s="23" t="s">
        <v>2495</v>
      </c>
      <c r="M59" s="23" t="s">
        <v>227</v>
      </c>
      <c r="N59" s="23" t="s">
        <v>251</v>
      </c>
      <c r="O59" s="23" t="s">
        <v>252</v>
      </c>
      <c r="P59" s="23" t="s">
        <v>1909</v>
      </c>
      <c r="Q59" s="23" t="s">
        <v>2668</v>
      </c>
      <c r="R59" s="23" t="s">
        <v>2368</v>
      </c>
      <c r="S59" s="23" t="s">
        <v>2369</v>
      </c>
      <c r="T59" s="23" t="s">
        <v>2409</v>
      </c>
    </row>
    <row r="60" spans="1:20" ht="66" customHeight="1" x14ac:dyDescent="0.3">
      <c r="A60" s="25" t="s">
        <v>2690</v>
      </c>
      <c r="B60" s="23" t="s">
        <v>2691</v>
      </c>
      <c r="C60" s="23" t="s">
        <v>2692</v>
      </c>
      <c r="D60" s="23" t="s">
        <v>2693</v>
      </c>
      <c r="E60" s="23" t="s">
        <v>142</v>
      </c>
      <c r="F60" s="23" t="s">
        <v>236</v>
      </c>
      <c r="G60" s="23" t="s">
        <v>2694</v>
      </c>
      <c r="H60" s="23" t="s">
        <v>2695</v>
      </c>
      <c r="I60" s="23" t="s">
        <v>2696</v>
      </c>
      <c r="J60" s="23" t="s">
        <v>2697</v>
      </c>
      <c r="K60" s="23" t="s">
        <v>2324</v>
      </c>
      <c r="L60" s="23" t="s">
        <v>2366</v>
      </c>
      <c r="M60" s="23" t="s">
        <v>227</v>
      </c>
      <c r="N60" s="23" t="s">
        <v>228</v>
      </c>
      <c r="O60" s="23" t="s">
        <v>229</v>
      </c>
      <c r="P60" s="23" t="s">
        <v>1909</v>
      </c>
      <c r="Q60" s="23" t="s">
        <v>2698</v>
      </c>
      <c r="R60" s="23" t="s">
        <v>2699</v>
      </c>
      <c r="S60" s="23" t="s">
        <v>2369</v>
      </c>
      <c r="T60" s="23" t="s">
        <v>2700</v>
      </c>
    </row>
    <row r="61" spans="1:20" ht="66" customHeight="1" x14ac:dyDescent="0.3">
      <c r="A61" s="25" t="s">
        <v>2701</v>
      </c>
      <c r="B61" s="23" t="s">
        <v>2702</v>
      </c>
      <c r="C61" s="23" t="s">
        <v>2692</v>
      </c>
      <c r="D61" s="23" t="s">
        <v>2693</v>
      </c>
      <c r="E61" s="23" t="s">
        <v>142</v>
      </c>
      <c r="F61" s="23" t="s">
        <v>236</v>
      </c>
      <c r="G61" s="23" t="s">
        <v>2703</v>
      </c>
      <c r="H61" s="23" t="s">
        <v>2704</v>
      </c>
      <c r="I61" s="23" t="s">
        <v>2705</v>
      </c>
      <c r="J61" s="23" t="s">
        <v>2706</v>
      </c>
      <c r="K61" s="23" t="s">
        <v>2324</v>
      </c>
      <c r="L61" s="23" t="s">
        <v>2366</v>
      </c>
      <c r="M61" s="23" t="s">
        <v>227</v>
      </c>
      <c r="N61" s="23" t="s">
        <v>228</v>
      </c>
      <c r="O61" s="23" t="s">
        <v>229</v>
      </c>
      <c r="P61" s="23" t="s">
        <v>1909</v>
      </c>
      <c r="Q61" s="23" t="s">
        <v>2707</v>
      </c>
      <c r="R61" s="23" t="s">
        <v>2708</v>
      </c>
      <c r="S61" s="23" t="s">
        <v>2369</v>
      </c>
      <c r="T61" s="23" t="s">
        <v>2700</v>
      </c>
    </row>
    <row r="62" spans="1:20" ht="66" customHeight="1" x14ac:dyDescent="0.3">
      <c r="A62" s="25" t="s">
        <v>2709</v>
      </c>
      <c r="B62" s="23" t="s">
        <v>2710</v>
      </c>
      <c r="C62" s="23" t="s">
        <v>2692</v>
      </c>
      <c r="D62" s="23" t="s">
        <v>2693</v>
      </c>
      <c r="E62" s="23" t="s">
        <v>147</v>
      </c>
      <c r="F62" s="23" t="s">
        <v>464</v>
      </c>
      <c r="G62" s="23" t="s">
        <v>2711</v>
      </c>
      <c r="H62" s="23" t="s">
        <v>2695</v>
      </c>
      <c r="I62" s="23" t="s">
        <v>2712</v>
      </c>
      <c r="J62" s="23" t="s">
        <v>2713</v>
      </c>
      <c r="K62" s="23" t="s">
        <v>2324</v>
      </c>
      <c r="L62" s="23" t="s">
        <v>2470</v>
      </c>
      <c r="M62" s="23" t="s">
        <v>227</v>
      </c>
      <c r="N62" s="23" t="s">
        <v>228</v>
      </c>
      <c r="O62" s="23" t="s">
        <v>229</v>
      </c>
      <c r="P62" s="23" t="s">
        <v>1854</v>
      </c>
      <c r="Q62" s="23" t="s">
        <v>2714</v>
      </c>
      <c r="R62" s="23" t="s">
        <v>2715</v>
      </c>
      <c r="S62" s="23" t="s">
        <v>2369</v>
      </c>
      <c r="T62" s="23" t="s">
        <v>2700</v>
      </c>
    </row>
    <row r="63" spans="1:20" ht="93" customHeight="1" x14ac:dyDescent="0.3">
      <c r="A63" s="25" t="s">
        <v>2716</v>
      </c>
      <c r="B63" s="23" t="s">
        <v>2717</v>
      </c>
      <c r="C63" s="23" t="s">
        <v>2692</v>
      </c>
      <c r="D63" s="23" t="s">
        <v>2693</v>
      </c>
      <c r="E63" s="23" t="s">
        <v>142</v>
      </c>
      <c r="F63" s="23" t="s">
        <v>2373</v>
      </c>
      <c r="G63" s="23" t="s">
        <v>2718</v>
      </c>
      <c r="H63" s="23" t="s">
        <v>2719</v>
      </c>
      <c r="I63" s="23" t="s">
        <v>2712</v>
      </c>
      <c r="J63" s="23" t="s">
        <v>2720</v>
      </c>
      <c r="K63" s="23" t="s">
        <v>2324</v>
      </c>
      <c r="L63" s="23" t="s">
        <v>2721</v>
      </c>
      <c r="M63" s="23" t="s">
        <v>227</v>
      </c>
      <c r="N63" s="23" t="s">
        <v>228</v>
      </c>
      <c r="O63" s="23" t="s">
        <v>229</v>
      </c>
      <c r="P63" s="23" t="s">
        <v>1929</v>
      </c>
      <c r="Q63" s="23" t="s">
        <v>2722</v>
      </c>
      <c r="R63" s="23" t="s">
        <v>2715</v>
      </c>
      <c r="S63" s="23" t="s">
        <v>2369</v>
      </c>
      <c r="T63" s="23" t="s">
        <v>2700</v>
      </c>
    </row>
    <row r="64" spans="1:20" ht="78.75" customHeight="1" x14ac:dyDescent="0.3">
      <c r="A64" s="25" t="s">
        <v>2723</v>
      </c>
      <c r="B64" s="23" t="s">
        <v>2724</v>
      </c>
      <c r="C64" s="23" t="s">
        <v>2692</v>
      </c>
      <c r="D64" s="23" t="s">
        <v>2693</v>
      </c>
      <c r="E64" s="23" t="s">
        <v>155</v>
      </c>
      <c r="F64" s="23" t="s">
        <v>464</v>
      </c>
      <c r="G64" s="23" t="s">
        <v>2450</v>
      </c>
      <c r="H64" s="23" t="s">
        <v>2725</v>
      </c>
      <c r="I64" s="23" t="s">
        <v>2712</v>
      </c>
      <c r="J64" s="23" t="s">
        <v>2713</v>
      </c>
      <c r="K64" s="23" t="s">
        <v>2324</v>
      </c>
      <c r="L64" s="23" t="s">
        <v>2495</v>
      </c>
      <c r="M64" s="23" t="s">
        <v>227</v>
      </c>
      <c r="N64" s="23" t="s">
        <v>251</v>
      </c>
      <c r="O64" s="23" t="s">
        <v>252</v>
      </c>
      <c r="P64" s="23" t="s">
        <v>1909</v>
      </c>
      <c r="Q64" s="23" t="s">
        <v>2726</v>
      </c>
      <c r="R64" s="23" t="s">
        <v>2715</v>
      </c>
      <c r="S64" s="23" t="s">
        <v>2369</v>
      </c>
      <c r="T64" s="23" t="s">
        <v>2409</v>
      </c>
    </row>
    <row r="65" spans="1:20" ht="78.75" customHeight="1" x14ac:dyDescent="0.3">
      <c r="A65" s="25" t="s">
        <v>2727</v>
      </c>
      <c r="B65" s="23" t="s">
        <v>2728</v>
      </c>
      <c r="C65" s="23" t="s">
        <v>2692</v>
      </c>
      <c r="D65" s="23" t="s">
        <v>2693</v>
      </c>
      <c r="E65" s="23" t="s">
        <v>155</v>
      </c>
      <c r="F65" s="23" t="s">
        <v>236</v>
      </c>
      <c r="G65" s="23" t="s">
        <v>2729</v>
      </c>
      <c r="H65" s="23" t="s">
        <v>2730</v>
      </c>
      <c r="I65" s="23" t="s">
        <v>2731</v>
      </c>
      <c r="J65" s="23" t="s">
        <v>2732</v>
      </c>
      <c r="K65" s="23" t="s">
        <v>2324</v>
      </c>
      <c r="L65" s="23" t="s">
        <v>2495</v>
      </c>
      <c r="M65" s="23" t="s">
        <v>227</v>
      </c>
      <c r="N65" s="23" t="s">
        <v>251</v>
      </c>
      <c r="O65" s="23" t="s">
        <v>252</v>
      </c>
      <c r="P65" s="23" t="s">
        <v>1854</v>
      </c>
      <c r="Q65" s="23" t="s">
        <v>2733</v>
      </c>
      <c r="R65" s="23" t="s">
        <v>2734</v>
      </c>
      <c r="S65" s="23" t="s">
        <v>2369</v>
      </c>
      <c r="T65" s="23" t="s">
        <v>2409</v>
      </c>
    </row>
    <row r="66" spans="1:20" ht="78.75" customHeight="1" x14ac:dyDescent="0.3">
      <c r="A66" s="25" t="s">
        <v>2735</v>
      </c>
      <c r="B66" s="23" t="s">
        <v>2736</v>
      </c>
      <c r="C66" s="23" t="s">
        <v>2692</v>
      </c>
      <c r="D66" s="23" t="s">
        <v>2693</v>
      </c>
      <c r="E66" s="23" t="s">
        <v>155</v>
      </c>
      <c r="F66" s="23" t="s">
        <v>672</v>
      </c>
      <c r="G66" s="23" t="s">
        <v>2737</v>
      </c>
      <c r="H66" s="23" t="s">
        <v>2738</v>
      </c>
      <c r="I66" s="23" t="s">
        <v>2731</v>
      </c>
      <c r="J66" s="23" t="s">
        <v>2739</v>
      </c>
      <c r="K66" s="23" t="s">
        <v>2324</v>
      </c>
      <c r="L66" s="23" t="s">
        <v>2495</v>
      </c>
      <c r="M66" s="23" t="s">
        <v>227</v>
      </c>
      <c r="N66" s="23" t="s">
        <v>251</v>
      </c>
      <c r="O66" s="23" t="s">
        <v>252</v>
      </c>
      <c r="P66" s="23" t="s">
        <v>2740</v>
      </c>
      <c r="Q66" s="23" t="s">
        <v>2741</v>
      </c>
      <c r="R66" s="23" t="s">
        <v>2734</v>
      </c>
      <c r="S66" s="23" t="s">
        <v>2369</v>
      </c>
      <c r="T66" s="23" t="s">
        <v>2409</v>
      </c>
    </row>
    <row r="67" spans="1:20" ht="120" customHeight="1" x14ac:dyDescent="0.3">
      <c r="A67" s="25" t="s">
        <v>2742</v>
      </c>
      <c r="B67" s="23" t="s">
        <v>2743</v>
      </c>
      <c r="C67" s="23" t="s">
        <v>2430</v>
      </c>
      <c r="D67" s="23" t="s">
        <v>2361</v>
      </c>
      <c r="E67" s="23" t="s">
        <v>142</v>
      </c>
      <c r="F67" s="23" t="s">
        <v>236</v>
      </c>
      <c r="G67" s="23" t="s">
        <v>2744</v>
      </c>
      <c r="H67" s="23" t="s">
        <v>2745</v>
      </c>
      <c r="I67" s="23" t="s">
        <v>2433</v>
      </c>
      <c r="J67" s="23" t="s">
        <v>2746</v>
      </c>
      <c r="K67" s="23" t="s">
        <v>2327</v>
      </c>
      <c r="L67" s="23" t="s">
        <v>2366</v>
      </c>
      <c r="M67" s="23" t="s">
        <v>227</v>
      </c>
      <c r="N67" s="23" t="s">
        <v>228</v>
      </c>
      <c r="O67" s="23" t="s">
        <v>229</v>
      </c>
      <c r="P67" s="23" t="s">
        <v>1909</v>
      </c>
      <c r="Q67" s="23" t="s">
        <v>2747</v>
      </c>
      <c r="R67" s="23" t="s">
        <v>2445</v>
      </c>
      <c r="S67" s="23" t="s">
        <v>2369</v>
      </c>
      <c r="T67" s="23" t="s">
        <v>2438</v>
      </c>
    </row>
    <row r="68" spans="1:20" ht="66" customHeight="1" x14ac:dyDescent="0.3">
      <c r="A68" s="25" t="s">
        <v>2748</v>
      </c>
      <c r="B68" s="23" t="s">
        <v>2749</v>
      </c>
      <c r="C68" s="23" t="s">
        <v>2430</v>
      </c>
      <c r="D68" s="23" t="s">
        <v>2361</v>
      </c>
      <c r="E68" s="23" t="s">
        <v>147</v>
      </c>
      <c r="F68" s="23" t="s">
        <v>236</v>
      </c>
      <c r="G68" s="23" t="s">
        <v>2744</v>
      </c>
      <c r="H68" s="23" t="s">
        <v>2750</v>
      </c>
      <c r="I68" s="23" t="s">
        <v>2433</v>
      </c>
      <c r="J68" s="23" t="s">
        <v>2751</v>
      </c>
      <c r="K68" s="23" t="s">
        <v>2327</v>
      </c>
      <c r="L68" s="23" t="s">
        <v>2752</v>
      </c>
      <c r="M68" s="23" t="s">
        <v>227</v>
      </c>
      <c r="N68" s="23" t="s">
        <v>228</v>
      </c>
      <c r="O68" s="23" t="s">
        <v>229</v>
      </c>
      <c r="P68" s="23" t="s">
        <v>1909</v>
      </c>
      <c r="Q68" s="23" t="s">
        <v>2753</v>
      </c>
      <c r="R68" s="23" t="s">
        <v>2754</v>
      </c>
      <c r="S68" s="23" t="s">
        <v>2369</v>
      </c>
      <c r="T68" s="23" t="s">
        <v>2438</v>
      </c>
    </row>
    <row r="69" spans="1:20" ht="66" customHeight="1" x14ac:dyDescent="0.3">
      <c r="A69" s="25" t="s">
        <v>2755</v>
      </c>
      <c r="B69" s="23" t="s">
        <v>2756</v>
      </c>
      <c r="C69" s="23" t="s">
        <v>2430</v>
      </c>
      <c r="D69" s="23" t="s">
        <v>2361</v>
      </c>
      <c r="E69" s="23" t="s">
        <v>147</v>
      </c>
      <c r="F69" s="23" t="s">
        <v>2449</v>
      </c>
      <c r="G69" s="23" t="s">
        <v>2744</v>
      </c>
      <c r="H69" s="23" t="s">
        <v>2757</v>
      </c>
      <c r="I69" s="23" t="s">
        <v>2433</v>
      </c>
      <c r="J69" s="23" t="s">
        <v>2758</v>
      </c>
      <c r="K69" s="23" t="s">
        <v>2327</v>
      </c>
      <c r="L69" s="23" t="s">
        <v>2759</v>
      </c>
      <c r="M69" s="23" t="s">
        <v>227</v>
      </c>
      <c r="N69" s="23" t="s">
        <v>228</v>
      </c>
      <c r="O69" s="23" t="s">
        <v>229</v>
      </c>
      <c r="P69" s="23" t="s">
        <v>1830</v>
      </c>
      <c r="Q69" s="23" t="s">
        <v>2747</v>
      </c>
      <c r="R69" s="23" t="s">
        <v>2445</v>
      </c>
      <c r="S69" s="23" t="s">
        <v>2369</v>
      </c>
      <c r="T69" s="23" t="s">
        <v>2438</v>
      </c>
    </row>
    <row r="70" spans="1:20" ht="78.75" customHeight="1" x14ac:dyDescent="0.3">
      <c r="A70" s="25" t="s">
        <v>2760</v>
      </c>
      <c r="B70" s="23" t="s">
        <v>2761</v>
      </c>
      <c r="C70" s="23" t="s">
        <v>2430</v>
      </c>
      <c r="D70" s="23" t="s">
        <v>2361</v>
      </c>
      <c r="E70" s="23" t="s">
        <v>155</v>
      </c>
      <c r="F70" s="23" t="s">
        <v>236</v>
      </c>
      <c r="G70" s="23" t="s">
        <v>2744</v>
      </c>
      <c r="H70" s="23" t="s">
        <v>2432</v>
      </c>
      <c r="I70" s="23" t="s">
        <v>2433</v>
      </c>
      <c r="J70" s="23" t="s">
        <v>2762</v>
      </c>
      <c r="K70" s="23" t="s">
        <v>2327</v>
      </c>
      <c r="L70" s="23" t="s">
        <v>2495</v>
      </c>
      <c r="M70" s="23" t="s">
        <v>227</v>
      </c>
      <c r="N70" s="23" t="s">
        <v>251</v>
      </c>
      <c r="O70" s="23" t="s">
        <v>252</v>
      </c>
      <c r="P70" s="23" t="s">
        <v>1909</v>
      </c>
      <c r="Q70" s="23" t="s">
        <v>2763</v>
      </c>
      <c r="R70" s="23" t="s">
        <v>2445</v>
      </c>
      <c r="S70" s="23" t="s">
        <v>2369</v>
      </c>
      <c r="T70" s="23" t="s">
        <v>2409</v>
      </c>
    </row>
    <row r="71" spans="1:20" ht="66" customHeight="1" x14ac:dyDescent="0.3">
      <c r="A71" s="25" t="s">
        <v>2764</v>
      </c>
      <c r="B71" s="23" t="s">
        <v>2765</v>
      </c>
      <c r="C71" s="23" t="s">
        <v>2430</v>
      </c>
      <c r="D71" s="23" t="s">
        <v>2361</v>
      </c>
      <c r="E71" s="23" t="s">
        <v>147</v>
      </c>
      <c r="F71" s="23" t="s">
        <v>672</v>
      </c>
      <c r="G71" s="23" t="s">
        <v>2744</v>
      </c>
      <c r="H71" s="23" t="s">
        <v>2766</v>
      </c>
      <c r="I71" s="23" t="s">
        <v>2468</v>
      </c>
      <c r="J71" s="23" t="s">
        <v>2767</v>
      </c>
      <c r="K71" s="23" t="s">
        <v>2327</v>
      </c>
      <c r="L71" s="23" t="s">
        <v>2477</v>
      </c>
      <c r="M71" s="23" t="s">
        <v>227</v>
      </c>
      <c r="N71" s="23" t="s">
        <v>228</v>
      </c>
      <c r="O71" s="23" t="s">
        <v>229</v>
      </c>
      <c r="P71" s="23" t="s">
        <v>672</v>
      </c>
      <c r="Q71" s="23" t="s">
        <v>2768</v>
      </c>
      <c r="R71" s="23" t="s">
        <v>2479</v>
      </c>
      <c r="S71" s="23" t="s">
        <v>2369</v>
      </c>
      <c r="T71" s="23" t="s">
        <v>2438</v>
      </c>
    </row>
    <row r="72" spans="1:20" ht="66" customHeight="1" x14ac:dyDescent="0.3">
      <c r="A72" s="25" t="s">
        <v>2769</v>
      </c>
      <c r="B72" s="23" t="s">
        <v>2770</v>
      </c>
      <c r="C72" s="23" t="s">
        <v>2430</v>
      </c>
      <c r="D72" s="23" t="s">
        <v>2361</v>
      </c>
      <c r="E72" s="23" t="s">
        <v>147</v>
      </c>
      <c r="F72" s="23" t="s">
        <v>672</v>
      </c>
      <c r="G72" s="23" t="s">
        <v>2744</v>
      </c>
      <c r="H72" s="23" t="s">
        <v>2771</v>
      </c>
      <c r="I72" s="23" t="s">
        <v>2433</v>
      </c>
      <c r="J72" s="23" t="s">
        <v>2772</v>
      </c>
      <c r="K72" s="23" t="s">
        <v>2327</v>
      </c>
      <c r="L72" s="23" t="s">
        <v>2477</v>
      </c>
      <c r="M72" s="23" t="s">
        <v>227</v>
      </c>
      <c r="N72" s="23" t="s">
        <v>228</v>
      </c>
      <c r="O72" s="23" t="s">
        <v>229</v>
      </c>
      <c r="P72" s="23" t="s">
        <v>672</v>
      </c>
      <c r="Q72" s="23" t="s">
        <v>2768</v>
      </c>
      <c r="R72" s="23" t="s">
        <v>2445</v>
      </c>
      <c r="S72" s="23" t="s">
        <v>2369</v>
      </c>
      <c r="T72" s="23" t="s">
        <v>2438</v>
      </c>
    </row>
    <row r="73" spans="1:20" ht="66" customHeight="1" x14ac:dyDescent="0.3">
      <c r="A73" s="25" t="s">
        <v>2773</v>
      </c>
      <c r="B73" s="23" t="s">
        <v>2774</v>
      </c>
      <c r="C73" s="23" t="s">
        <v>2430</v>
      </c>
      <c r="D73" s="23" t="s">
        <v>2361</v>
      </c>
      <c r="E73" s="23" t="s">
        <v>147</v>
      </c>
      <c r="F73" s="23" t="s">
        <v>672</v>
      </c>
      <c r="G73" s="23" t="s">
        <v>2744</v>
      </c>
      <c r="H73" s="23" t="s">
        <v>2775</v>
      </c>
      <c r="I73" s="23" t="s">
        <v>2433</v>
      </c>
      <c r="J73" s="23" t="s">
        <v>2776</v>
      </c>
      <c r="K73" s="23" t="s">
        <v>2327</v>
      </c>
      <c r="L73" s="23" t="s">
        <v>2477</v>
      </c>
      <c r="M73" s="23" t="s">
        <v>227</v>
      </c>
      <c r="N73" s="23" t="s">
        <v>228</v>
      </c>
      <c r="O73" s="23" t="s">
        <v>229</v>
      </c>
      <c r="P73" s="23" t="s">
        <v>672</v>
      </c>
      <c r="Q73" s="23" t="s">
        <v>2768</v>
      </c>
      <c r="R73" s="23" t="s">
        <v>2445</v>
      </c>
      <c r="S73" s="23" t="s">
        <v>2369</v>
      </c>
      <c r="T73" s="23" t="s">
        <v>2438</v>
      </c>
    </row>
    <row r="74" spans="1:20" ht="66" customHeight="1" x14ac:dyDescent="0.3">
      <c r="A74" s="25" t="s">
        <v>2777</v>
      </c>
      <c r="B74" s="23" t="s">
        <v>2778</v>
      </c>
      <c r="C74" s="23" t="s">
        <v>2430</v>
      </c>
      <c r="D74" s="23" t="s">
        <v>2361</v>
      </c>
      <c r="E74" s="23" t="s">
        <v>147</v>
      </c>
      <c r="F74" s="23" t="s">
        <v>672</v>
      </c>
      <c r="G74" s="23" t="s">
        <v>2744</v>
      </c>
      <c r="H74" s="23" t="s">
        <v>2779</v>
      </c>
      <c r="I74" s="23" t="s">
        <v>2468</v>
      </c>
      <c r="J74" s="23" t="s">
        <v>2767</v>
      </c>
      <c r="K74" s="23" t="s">
        <v>2327</v>
      </c>
      <c r="L74" s="23" t="s">
        <v>2477</v>
      </c>
      <c r="M74" s="23" t="s">
        <v>227</v>
      </c>
      <c r="N74" s="23" t="s">
        <v>228</v>
      </c>
      <c r="O74" s="23" t="s">
        <v>229</v>
      </c>
      <c r="P74" s="23" t="s">
        <v>672</v>
      </c>
      <c r="Q74" s="23" t="s">
        <v>2768</v>
      </c>
      <c r="R74" s="23" t="s">
        <v>2479</v>
      </c>
      <c r="S74" s="23" t="s">
        <v>2369</v>
      </c>
      <c r="T74" s="23" t="s">
        <v>2438</v>
      </c>
    </row>
    <row r="75" spans="1:20" ht="66" customHeight="1" x14ac:dyDescent="0.3">
      <c r="A75" s="25" t="s">
        <v>2780</v>
      </c>
      <c r="B75" s="23" t="s">
        <v>2781</v>
      </c>
      <c r="C75" s="23" t="s">
        <v>2430</v>
      </c>
      <c r="D75" s="23" t="s">
        <v>2361</v>
      </c>
      <c r="E75" s="23" t="s">
        <v>142</v>
      </c>
      <c r="F75" s="23" t="s">
        <v>464</v>
      </c>
      <c r="G75" s="23" t="s">
        <v>2744</v>
      </c>
      <c r="H75" s="23" t="s">
        <v>2782</v>
      </c>
      <c r="I75" s="23" t="s">
        <v>2468</v>
      </c>
      <c r="J75" s="23" t="s">
        <v>2767</v>
      </c>
      <c r="K75" s="23" t="s">
        <v>2327</v>
      </c>
      <c r="L75" s="23" t="s">
        <v>2470</v>
      </c>
      <c r="M75" s="23" t="s">
        <v>227</v>
      </c>
      <c r="N75" s="23" t="s">
        <v>228</v>
      </c>
      <c r="O75" s="23" t="s">
        <v>229</v>
      </c>
      <c r="P75" s="23" t="s">
        <v>1909</v>
      </c>
      <c r="Q75" s="23" t="s">
        <v>2783</v>
      </c>
      <c r="R75" s="23" t="s">
        <v>2479</v>
      </c>
      <c r="S75" s="23" t="s">
        <v>2369</v>
      </c>
      <c r="T75" s="23" t="s">
        <v>2438</v>
      </c>
    </row>
    <row r="76" spans="1:20" ht="66" customHeight="1" x14ac:dyDescent="0.3">
      <c r="A76" s="25" t="s">
        <v>2784</v>
      </c>
      <c r="B76" s="23" t="s">
        <v>2785</v>
      </c>
      <c r="C76" s="23" t="s">
        <v>2430</v>
      </c>
      <c r="D76" s="23" t="s">
        <v>2361</v>
      </c>
      <c r="E76" s="23" t="s">
        <v>147</v>
      </c>
      <c r="F76" s="23" t="s">
        <v>464</v>
      </c>
      <c r="G76" s="23" t="s">
        <v>2744</v>
      </c>
      <c r="H76" s="23" t="s">
        <v>2786</v>
      </c>
      <c r="I76" s="23" t="s">
        <v>2468</v>
      </c>
      <c r="J76" s="23" t="s">
        <v>2767</v>
      </c>
      <c r="K76" s="23" t="s">
        <v>2327</v>
      </c>
      <c r="L76" s="23" t="s">
        <v>2470</v>
      </c>
      <c r="M76" s="23" t="s">
        <v>227</v>
      </c>
      <c r="N76" s="23" t="s">
        <v>228</v>
      </c>
      <c r="O76" s="23" t="s">
        <v>229</v>
      </c>
      <c r="P76" s="23" t="s">
        <v>1909</v>
      </c>
      <c r="Q76" s="23" t="s">
        <v>2783</v>
      </c>
      <c r="R76" s="23" t="s">
        <v>2479</v>
      </c>
      <c r="S76" s="23" t="s">
        <v>2369</v>
      </c>
      <c r="T76" s="23" t="s">
        <v>2438</v>
      </c>
    </row>
    <row r="77" spans="1:20" ht="66" customHeight="1" x14ac:dyDescent="0.3">
      <c r="A77" s="25" t="s">
        <v>2787</v>
      </c>
      <c r="B77" s="23" t="s">
        <v>2788</v>
      </c>
      <c r="C77" s="23" t="s">
        <v>2430</v>
      </c>
      <c r="D77" s="23" t="s">
        <v>2361</v>
      </c>
      <c r="E77" s="23" t="s">
        <v>147</v>
      </c>
      <c r="F77" s="23" t="s">
        <v>464</v>
      </c>
      <c r="G77" s="23" t="s">
        <v>2744</v>
      </c>
      <c r="H77" s="23" t="s">
        <v>2789</v>
      </c>
      <c r="I77" s="23" t="s">
        <v>2468</v>
      </c>
      <c r="J77" s="23" t="s">
        <v>2790</v>
      </c>
      <c r="K77" s="23" t="s">
        <v>2327</v>
      </c>
      <c r="L77" s="23" t="s">
        <v>2470</v>
      </c>
      <c r="M77" s="23" t="s">
        <v>227</v>
      </c>
      <c r="N77" s="23" t="s">
        <v>228</v>
      </c>
      <c r="O77" s="23" t="s">
        <v>229</v>
      </c>
      <c r="P77" s="23" t="s">
        <v>2791</v>
      </c>
      <c r="Q77" s="23" t="s">
        <v>2792</v>
      </c>
      <c r="R77" s="23" t="s">
        <v>2479</v>
      </c>
      <c r="S77" s="23" t="s">
        <v>2369</v>
      </c>
      <c r="T77" s="23" t="s">
        <v>2438</v>
      </c>
    </row>
    <row r="78" spans="1:20" ht="78.75" customHeight="1" x14ac:dyDescent="0.3">
      <c r="A78" s="25" t="s">
        <v>2793</v>
      </c>
      <c r="B78" s="23" t="s">
        <v>2794</v>
      </c>
      <c r="C78" s="23" t="s">
        <v>2430</v>
      </c>
      <c r="D78" s="23" t="s">
        <v>2361</v>
      </c>
      <c r="E78" s="23" t="s">
        <v>155</v>
      </c>
      <c r="F78" s="23" t="s">
        <v>672</v>
      </c>
      <c r="G78" s="23" t="s">
        <v>2744</v>
      </c>
      <c r="H78" s="23" t="s">
        <v>2795</v>
      </c>
      <c r="I78" s="23" t="s">
        <v>2534</v>
      </c>
      <c r="J78" s="23" t="s">
        <v>2796</v>
      </c>
      <c r="K78" s="23" t="s">
        <v>2327</v>
      </c>
      <c r="L78" s="23" t="s">
        <v>2495</v>
      </c>
      <c r="M78" s="23" t="s">
        <v>227</v>
      </c>
      <c r="N78" s="23" t="s">
        <v>251</v>
      </c>
      <c r="O78" s="23" t="s">
        <v>252</v>
      </c>
      <c r="P78" s="23" t="s">
        <v>672</v>
      </c>
      <c r="Q78" s="23" t="s">
        <v>2797</v>
      </c>
      <c r="R78" s="23" t="s">
        <v>2537</v>
      </c>
      <c r="S78" s="23" t="s">
        <v>2369</v>
      </c>
      <c r="T78" s="23" t="s">
        <v>2409</v>
      </c>
    </row>
    <row r="79" spans="1:20" ht="66" customHeight="1" x14ac:dyDescent="0.3">
      <c r="A79" s="25" t="s">
        <v>2798</v>
      </c>
      <c r="B79" s="23" t="s">
        <v>2799</v>
      </c>
      <c r="C79" s="23" t="s">
        <v>2430</v>
      </c>
      <c r="D79" s="23" t="s">
        <v>2361</v>
      </c>
      <c r="E79" s="23" t="s">
        <v>147</v>
      </c>
      <c r="F79" s="23" t="s">
        <v>464</v>
      </c>
      <c r="G79" s="23" t="s">
        <v>2744</v>
      </c>
      <c r="H79" s="23" t="s">
        <v>2800</v>
      </c>
      <c r="I79" s="23" t="s">
        <v>2468</v>
      </c>
      <c r="J79" s="23" t="s">
        <v>2801</v>
      </c>
      <c r="K79" s="23" t="s">
        <v>2327</v>
      </c>
      <c r="L79" s="23" t="s">
        <v>2470</v>
      </c>
      <c r="M79" s="23" t="s">
        <v>227</v>
      </c>
      <c r="N79" s="23" t="s">
        <v>228</v>
      </c>
      <c r="O79" s="23" t="s">
        <v>229</v>
      </c>
      <c r="P79" s="23" t="s">
        <v>1909</v>
      </c>
      <c r="Q79" s="23" t="s">
        <v>2763</v>
      </c>
      <c r="R79" s="23" t="s">
        <v>2479</v>
      </c>
      <c r="S79" s="23" t="s">
        <v>2369</v>
      </c>
      <c r="T79" s="23" t="s">
        <v>2438</v>
      </c>
    </row>
    <row r="80" spans="1:20" ht="78.75" customHeight="1" x14ac:dyDescent="0.3">
      <c r="A80" s="25" t="s">
        <v>2802</v>
      </c>
      <c r="B80" s="23" t="s">
        <v>2803</v>
      </c>
      <c r="C80" s="23" t="s">
        <v>2430</v>
      </c>
      <c r="D80" s="23" t="s">
        <v>2361</v>
      </c>
      <c r="E80" s="23" t="s">
        <v>142</v>
      </c>
      <c r="F80" s="23" t="s">
        <v>2373</v>
      </c>
      <c r="G80" s="23" t="s">
        <v>2744</v>
      </c>
      <c r="H80" s="23" t="s">
        <v>2804</v>
      </c>
      <c r="I80" s="23" t="s">
        <v>2805</v>
      </c>
      <c r="J80" s="23" t="s">
        <v>2806</v>
      </c>
      <c r="K80" s="23" t="s">
        <v>2327</v>
      </c>
      <c r="L80" s="23" t="s">
        <v>2807</v>
      </c>
      <c r="M80" s="23" t="s">
        <v>227</v>
      </c>
      <c r="N80" s="23" t="s">
        <v>228</v>
      </c>
      <c r="O80" s="23" t="s">
        <v>229</v>
      </c>
      <c r="P80" s="23" t="s">
        <v>1929</v>
      </c>
      <c r="Q80" s="23" t="s">
        <v>2808</v>
      </c>
      <c r="R80" s="23" t="s">
        <v>2809</v>
      </c>
      <c r="S80" s="23" t="s">
        <v>2369</v>
      </c>
      <c r="T80" s="23" t="s">
        <v>2438</v>
      </c>
    </row>
    <row r="81" spans="1:20" ht="78.75" customHeight="1" x14ac:dyDescent="0.3">
      <c r="A81" s="25" t="s">
        <v>2810</v>
      </c>
      <c r="B81" s="23" t="s">
        <v>2811</v>
      </c>
      <c r="C81" s="23" t="s">
        <v>2430</v>
      </c>
      <c r="D81" s="23" t="s">
        <v>2361</v>
      </c>
      <c r="E81" s="23" t="s">
        <v>155</v>
      </c>
      <c r="F81" s="23" t="s">
        <v>464</v>
      </c>
      <c r="G81" s="23" t="s">
        <v>2744</v>
      </c>
      <c r="H81" s="23" t="s">
        <v>2812</v>
      </c>
      <c r="I81" s="23" t="s">
        <v>2712</v>
      </c>
      <c r="J81" s="23" t="s">
        <v>2813</v>
      </c>
      <c r="K81" s="23" t="s">
        <v>2327</v>
      </c>
      <c r="L81" s="23" t="s">
        <v>2495</v>
      </c>
      <c r="M81" s="23" t="s">
        <v>227</v>
      </c>
      <c r="N81" s="23" t="s">
        <v>251</v>
      </c>
      <c r="O81" s="23" t="s">
        <v>252</v>
      </c>
      <c r="P81" s="23" t="s">
        <v>1909</v>
      </c>
      <c r="Q81" s="23" t="s">
        <v>2814</v>
      </c>
      <c r="R81" s="23" t="s">
        <v>2715</v>
      </c>
      <c r="S81" s="23" t="s">
        <v>2369</v>
      </c>
      <c r="T81" s="23" t="s">
        <v>2409</v>
      </c>
    </row>
    <row r="82" spans="1:20" ht="66" customHeight="1" x14ac:dyDescent="0.3">
      <c r="A82" s="25" t="s">
        <v>2815</v>
      </c>
      <c r="B82" s="23" t="s">
        <v>2816</v>
      </c>
      <c r="C82" s="23" t="s">
        <v>2430</v>
      </c>
      <c r="D82" s="23" t="s">
        <v>2361</v>
      </c>
      <c r="E82" s="23" t="s">
        <v>142</v>
      </c>
      <c r="F82" s="23" t="s">
        <v>672</v>
      </c>
      <c r="G82" s="23" t="s">
        <v>2817</v>
      </c>
      <c r="H82" s="23" t="s">
        <v>2818</v>
      </c>
      <c r="I82" s="23" t="s">
        <v>2578</v>
      </c>
      <c r="J82" s="23" t="s">
        <v>2819</v>
      </c>
      <c r="K82" s="23" t="s">
        <v>2327</v>
      </c>
      <c r="L82" s="23" t="s">
        <v>2477</v>
      </c>
      <c r="M82" s="23" t="s">
        <v>227</v>
      </c>
      <c r="N82" s="23" t="s">
        <v>228</v>
      </c>
      <c r="O82" s="23" t="s">
        <v>229</v>
      </c>
      <c r="P82" s="23" t="s">
        <v>672</v>
      </c>
      <c r="Q82" s="23" t="s">
        <v>2820</v>
      </c>
      <c r="R82" s="23" t="s">
        <v>2581</v>
      </c>
      <c r="S82" s="23" t="s">
        <v>2369</v>
      </c>
      <c r="T82" s="23" t="s">
        <v>2438</v>
      </c>
    </row>
    <row r="83" spans="1:20" ht="66" customHeight="1" x14ac:dyDescent="0.3">
      <c r="A83" s="25" t="s">
        <v>2821</v>
      </c>
      <c r="B83" s="23" t="s">
        <v>2822</v>
      </c>
      <c r="C83" s="23" t="s">
        <v>2430</v>
      </c>
      <c r="D83" s="23" t="s">
        <v>2361</v>
      </c>
      <c r="E83" s="23" t="s">
        <v>147</v>
      </c>
      <c r="F83" s="23" t="s">
        <v>672</v>
      </c>
      <c r="G83" s="23" t="s">
        <v>2817</v>
      </c>
      <c r="H83" s="23" t="s">
        <v>2823</v>
      </c>
      <c r="I83" s="23" t="s">
        <v>2433</v>
      </c>
      <c r="J83" s="23" t="s">
        <v>2824</v>
      </c>
      <c r="K83" s="23" t="s">
        <v>2327</v>
      </c>
      <c r="L83" s="23" t="s">
        <v>2477</v>
      </c>
      <c r="M83" s="23" t="s">
        <v>227</v>
      </c>
      <c r="N83" s="23" t="s">
        <v>228</v>
      </c>
      <c r="O83" s="23" t="s">
        <v>229</v>
      </c>
      <c r="P83" s="23" t="s">
        <v>672</v>
      </c>
      <c r="Q83" s="23" t="s">
        <v>2825</v>
      </c>
      <c r="R83" s="23" t="s">
        <v>2445</v>
      </c>
      <c r="S83" s="23" t="s">
        <v>2369</v>
      </c>
      <c r="T83" s="23" t="s">
        <v>2438</v>
      </c>
    </row>
    <row r="84" spans="1:20" ht="66" customHeight="1" x14ac:dyDescent="0.3">
      <c r="A84" s="25" t="s">
        <v>2826</v>
      </c>
      <c r="B84" s="23" t="s">
        <v>2827</v>
      </c>
      <c r="C84" s="23" t="s">
        <v>2430</v>
      </c>
      <c r="D84" s="23" t="s">
        <v>2361</v>
      </c>
      <c r="E84" s="23" t="s">
        <v>142</v>
      </c>
      <c r="F84" s="23" t="s">
        <v>672</v>
      </c>
      <c r="G84" s="23" t="s">
        <v>2828</v>
      </c>
      <c r="H84" s="23" t="s">
        <v>2432</v>
      </c>
      <c r="I84" s="23" t="s">
        <v>2578</v>
      </c>
      <c r="J84" s="23" t="s">
        <v>2829</v>
      </c>
      <c r="K84" s="23" t="s">
        <v>2327</v>
      </c>
      <c r="L84" s="23" t="s">
        <v>2477</v>
      </c>
      <c r="M84" s="23" t="s">
        <v>227</v>
      </c>
      <c r="N84" s="23" t="s">
        <v>228</v>
      </c>
      <c r="O84" s="23" t="s">
        <v>229</v>
      </c>
      <c r="P84" s="23" t="s">
        <v>672</v>
      </c>
      <c r="Q84" s="23" t="s">
        <v>2830</v>
      </c>
      <c r="R84" s="23" t="s">
        <v>2581</v>
      </c>
      <c r="S84" s="23" t="s">
        <v>2369</v>
      </c>
      <c r="T84" s="23" t="s">
        <v>2438</v>
      </c>
    </row>
    <row r="85" spans="1:20" ht="66" customHeight="1" x14ac:dyDescent="0.3">
      <c r="A85" s="25" t="s">
        <v>2831</v>
      </c>
      <c r="B85" s="23" t="s">
        <v>2832</v>
      </c>
      <c r="C85" s="23" t="s">
        <v>2430</v>
      </c>
      <c r="D85" s="23" t="s">
        <v>2361</v>
      </c>
      <c r="E85" s="23" t="s">
        <v>147</v>
      </c>
      <c r="F85" s="23" t="s">
        <v>1854</v>
      </c>
      <c r="G85" s="23" t="s">
        <v>2833</v>
      </c>
      <c r="H85" s="23" t="s">
        <v>2432</v>
      </c>
      <c r="I85" s="23" t="s">
        <v>2578</v>
      </c>
      <c r="J85" s="23" t="s">
        <v>2829</v>
      </c>
      <c r="K85" s="23" t="s">
        <v>2327</v>
      </c>
      <c r="L85" s="23" t="s">
        <v>2366</v>
      </c>
      <c r="M85" s="23" t="s">
        <v>227</v>
      </c>
      <c r="N85" s="23" t="s">
        <v>228</v>
      </c>
      <c r="O85" s="23" t="s">
        <v>229</v>
      </c>
      <c r="P85" s="23" t="s">
        <v>1854</v>
      </c>
      <c r="Q85" s="23" t="s">
        <v>2830</v>
      </c>
      <c r="R85" s="23" t="s">
        <v>2581</v>
      </c>
      <c r="S85" s="23" t="s">
        <v>2369</v>
      </c>
      <c r="T85" s="23" t="s">
        <v>2438</v>
      </c>
    </row>
    <row r="86" spans="1:20" ht="66" customHeight="1" x14ac:dyDescent="0.3">
      <c r="A86" s="25" t="s">
        <v>2834</v>
      </c>
      <c r="B86" s="23" t="s">
        <v>2835</v>
      </c>
      <c r="C86" s="23" t="s">
        <v>2430</v>
      </c>
      <c r="D86" s="23" t="s">
        <v>2361</v>
      </c>
      <c r="E86" s="23" t="s">
        <v>147</v>
      </c>
      <c r="F86" s="23" t="s">
        <v>1854</v>
      </c>
      <c r="G86" s="23" t="s">
        <v>2836</v>
      </c>
      <c r="H86" s="23" t="s">
        <v>2432</v>
      </c>
      <c r="I86" s="23" t="s">
        <v>2433</v>
      </c>
      <c r="J86" s="23" t="s">
        <v>2837</v>
      </c>
      <c r="K86" s="23" t="s">
        <v>2327</v>
      </c>
      <c r="L86" s="23" t="s">
        <v>2366</v>
      </c>
      <c r="M86" s="23" t="s">
        <v>227</v>
      </c>
      <c r="N86" s="23" t="s">
        <v>228</v>
      </c>
      <c r="O86" s="23" t="s">
        <v>229</v>
      </c>
      <c r="P86" s="23" t="s">
        <v>1854</v>
      </c>
      <c r="Q86" s="23" t="s">
        <v>2838</v>
      </c>
      <c r="R86" s="23" t="s">
        <v>2445</v>
      </c>
      <c r="S86" s="23" t="s">
        <v>2369</v>
      </c>
      <c r="T86" s="23" t="s">
        <v>2438</v>
      </c>
    </row>
    <row r="87" spans="1:20" ht="93" customHeight="1" x14ac:dyDescent="0.3">
      <c r="A87" s="25" t="s">
        <v>2839</v>
      </c>
      <c r="B87" s="23" t="s">
        <v>2840</v>
      </c>
      <c r="C87" s="23" t="s">
        <v>2430</v>
      </c>
      <c r="D87" s="23" t="s">
        <v>2361</v>
      </c>
      <c r="E87" s="23" t="s">
        <v>155</v>
      </c>
      <c r="F87" s="23" t="s">
        <v>236</v>
      </c>
      <c r="G87" s="23" t="s">
        <v>2841</v>
      </c>
      <c r="H87" s="23" t="s">
        <v>2842</v>
      </c>
      <c r="I87" s="23" t="s">
        <v>2843</v>
      </c>
      <c r="J87" s="23" t="s">
        <v>2844</v>
      </c>
      <c r="K87" s="23" t="s">
        <v>2327</v>
      </c>
      <c r="L87" s="23" t="s">
        <v>2495</v>
      </c>
      <c r="M87" s="23" t="s">
        <v>227</v>
      </c>
      <c r="N87" s="23" t="s">
        <v>251</v>
      </c>
      <c r="O87" s="23" t="s">
        <v>252</v>
      </c>
      <c r="P87" s="23" t="s">
        <v>1909</v>
      </c>
      <c r="Q87" s="23" t="s">
        <v>2845</v>
      </c>
      <c r="R87" s="23" t="s">
        <v>2846</v>
      </c>
      <c r="S87" s="23" t="s">
        <v>2369</v>
      </c>
      <c r="T87" s="23" t="s">
        <v>2409</v>
      </c>
    </row>
    <row r="88" spans="1:20" ht="78.75" customHeight="1" x14ac:dyDescent="0.3">
      <c r="A88" s="25" t="s">
        <v>2847</v>
      </c>
      <c r="B88" s="23" t="s">
        <v>2848</v>
      </c>
      <c r="C88" s="23" t="s">
        <v>2849</v>
      </c>
      <c r="D88" s="23" t="s">
        <v>2383</v>
      </c>
      <c r="E88" s="23" t="s">
        <v>142</v>
      </c>
      <c r="F88" s="23" t="s">
        <v>236</v>
      </c>
      <c r="G88" s="23" t="s">
        <v>2850</v>
      </c>
      <c r="H88" s="23" t="s">
        <v>2851</v>
      </c>
      <c r="I88" s="23" t="s">
        <v>2364</v>
      </c>
      <c r="J88" s="23" t="s">
        <v>2852</v>
      </c>
      <c r="K88" s="23" t="s">
        <v>2330</v>
      </c>
      <c r="L88" s="23" t="s">
        <v>2366</v>
      </c>
      <c r="M88" s="23" t="s">
        <v>227</v>
      </c>
      <c r="N88" s="23" t="s">
        <v>228</v>
      </c>
      <c r="O88" s="23" t="s">
        <v>229</v>
      </c>
      <c r="P88" s="23" t="s">
        <v>1909</v>
      </c>
      <c r="Q88" s="23" t="s">
        <v>2853</v>
      </c>
      <c r="R88" s="23" t="s">
        <v>2368</v>
      </c>
      <c r="S88" s="23" t="s">
        <v>2369</v>
      </c>
      <c r="T88" s="23" t="s">
        <v>2854</v>
      </c>
    </row>
    <row r="89" spans="1:20" ht="78.75" customHeight="1" x14ac:dyDescent="0.3">
      <c r="A89" s="25" t="s">
        <v>2855</v>
      </c>
      <c r="B89" s="23" t="s">
        <v>2856</v>
      </c>
      <c r="C89" s="23" t="s">
        <v>2849</v>
      </c>
      <c r="D89" s="23" t="s">
        <v>2383</v>
      </c>
      <c r="E89" s="23" t="s">
        <v>142</v>
      </c>
      <c r="F89" s="23" t="s">
        <v>236</v>
      </c>
      <c r="G89" s="23" t="s">
        <v>2857</v>
      </c>
      <c r="H89" s="23" t="s">
        <v>2851</v>
      </c>
      <c r="I89" s="23" t="s">
        <v>2364</v>
      </c>
      <c r="J89" s="23" t="s">
        <v>2858</v>
      </c>
      <c r="K89" s="23" t="s">
        <v>2330</v>
      </c>
      <c r="L89" s="23" t="s">
        <v>2366</v>
      </c>
      <c r="M89" s="23" t="s">
        <v>227</v>
      </c>
      <c r="N89" s="23" t="s">
        <v>228</v>
      </c>
      <c r="O89" s="23" t="s">
        <v>229</v>
      </c>
      <c r="P89" s="23" t="s">
        <v>1909</v>
      </c>
      <c r="Q89" s="23" t="s">
        <v>2859</v>
      </c>
      <c r="R89" s="23" t="s">
        <v>2860</v>
      </c>
      <c r="S89" s="23" t="s">
        <v>2369</v>
      </c>
      <c r="T89" s="23" t="s">
        <v>2854</v>
      </c>
    </row>
    <row r="90" spans="1:20" ht="66" customHeight="1" x14ac:dyDescent="0.3">
      <c r="A90" s="25" t="s">
        <v>2861</v>
      </c>
      <c r="B90" s="23" t="s">
        <v>2862</v>
      </c>
      <c r="C90" s="23" t="s">
        <v>2849</v>
      </c>
      <c r="D90" s="23" t="s">
        <v>2383</v>
      </c>
      <c r="E90" s="23" t="s">
        <v>142</v>
      </c>
      <c r="F90" s="23" t="s">
        <v>2373</v>
      </c>
      <c r="G90" s="23" t="s">
        <v>2863</v>
      </c>
      <c r="H90" s="23" t="s">
        <v>2864</v>
      </c>
      <c r="I90" s="23" t="s">
        <v>2712</v>
      </c>
      <c r="J90" s="23" t="s">
        <v>2713</v>
      </c>
      <c r="K90" s="23" t="s">
        <v>2330</v>
      </c>
      <c r="L90" s="23" t="s">
        <v>2865</v>
      </c>
      <c r="M90" s="23" t="s">
        <v>227</v>
      </c>
      <c r="N90" s="23" t="s">
        <v>228</v>
      </c>
      <c r="O90" s="23" t="s">
        <v>229</v>
      </c>
      <c r="P90" s="23" t="s">
        <v>1929</v>
      </c>
      <c r="Q90" s="23" t="s">
        <v>2866</v>
      </c>
      <c r="R90" s="23" t="s">
        <v>2715</v>
      </c>
      <c r="S90" s="23" t="s">
        <v>2369</v>
      </c>
      <c r="T90" s="23" t="s">
        <v>2854</v>
      </c>
    </row>
    <row r="91" spans="1:20" ht="78.75" customHeight="1" x14ac:dyDescent="0.3">
      <c r="A91" s="25" t="s">
        <v>2867</v>
      </c>
      <c r="B91" s="23" t="s">
        <v>2868</v>
      </c>
      <c r="C91" s="23" t="s">
        <v>2849</v>
      </c>
      <c r="D91" s="23" t="s">
        <v>2383</v>
      </c>
      <c r="E91" s="23" t="s">
        <v>155</v>
      </c>
      <c r="F91" s="23" t="s">
        <v>464</v>
      </c>
      <c r="G91" s="23" t="s">
        <v>2450</v>
      </c>
      <c r="H91" s="23" t="s">
        <v>2869</v>
      </c>
      <c r="I91" s="23" t="s">
        <v>2712</v>
      </c>
      <c r="J91" s="23" t="s">
        <v>2713</v>
      </c>
      <c r="K91" s="23" t="s">
        <v>2330</v>
      </c>
      <c r="L91" s="23" t="s">
        <v>2495</v>
      </c>
      <c r="M91" s="23" t="s">
        <v>227</v>
      </c>
      <c r="N91" s="23" t="s">
        <v>251</v>
      </c>
      <c r="O91" s="23" t="s">
        <v>252</v>
      </c>
      <c r="P91" s="23" t="s">
        <v>1909</v>
      </c>
      <c r="Q91" s="23" t="s">
        <v>2870</v>
      </c>
      <c r="R91" s="23" t="s">
        <v>2715</v>
      </c>
      <c r="S91" s="23" t="s">
        <v>2369</v>
      </c>
      <c r="T91" s="23" t="s">
        <v>2854</v>
      </c>
    </row>
    <row r="92" spans="1:20" ht="66" customHeight="1" x14ac:dyDescent="0.3">
      <c r="A92" s="25" t="s">
        <v>2871</v>
      </c>
      <c r="B92" s="23" t="s">
        <v>2872</v>
      </c>
      <c r="C92" s="23" t="s">
        <v>2873</v>
      </c>
      <c r="D92" s="23" t="s">
        <v>2361</v>
      </c>
      <c r="E92" s="23" t="s">
        <v>142</v>
      </c>
      <c r="F92" s="23" t="s">
        <v>1854</v>
      </c>
      <c r="G92" s="23" t="s">
        <v>2874</v>
      </c>
      <c r="H92" s="23" t="s">
        <v>2875</v>
      </c>
      <c r="I92" s="23" t="s">
        <v>2364</v>
      </c>
      <c r="J92" s="23" t="s">
        <v>2876</v>
      </c>
      <c r="K92" s="23" t="s">
        <v>2333</v>
      </c>
      <c r="L92" s="23" t="s">
        <v>2877</v>
      </c>
      <c r="M92" s="23" t="s">
        <v>227</v>
      </c>
      <c r="N92" s="23" t="s">
        <v>228</v>
      </c>
      <c r="O92" s="23" t="s">
        <v>229</v>
      </c>
      <c r="P92" s="23" t="s">
        <v>1854</v>
      </c>
      <c r="Q92" s="23" t="s">
        <v>2878</v>
      </c>
      <c r="R92" s="23" t="s">
        <v>2368</v>
      </c>
      <c r="S92" s="23" t="s">
        <v>2369</v>
      </c>
      <c r="T92" s="23" t="s">
        <v>2879</v>
      </c>
    </row>
    <row r="93" spans="1:20" ht="66" customHeight="1" x14ac:dyDescent="0.3">
      <c r="A93" s="25" t="s">
        <v>2880</v>
      </c>
      <c r="B93" s="23" t="s">
        <v>2881</v>
      </c>
      <c r="C93" s="23" t="s">
        <v>2873</v>
      </c>
      <c r="D93" s="23" t="s">
        <v>2361</v>
      </c>
      <c r="E93" s="23" t="s">
        <v>142</v>
      </c>
      <c r="F93" s="23" t="s">
        <v>1854</v>
      </c>
      <c r="G93" s="23" t="s">
        <v>2874</v>
      </c>
      <c r="H93" s="23" t="s">
        <v>2882</v>
      </c>
      <c r="I93" s="23" t="s">
        <v>2364</v>
      </c>
      <c r="J93" s="23" t="s">
        <v>2883</v>
      </c>
      <c r="K93" s="23" t="s">
        <v>2333</v>
      </c>
      <c r="L93" s="23" t="s">
        <v>2877</v>
      </c>
      <c r="M93" s="23" t="s">
        <v>227</v>
      </c>
      <c r="N93" s="23" t="s">
        <v>228</v>
      </c>
      <c r="O93" s="23" t="s">
        <v>229</v>
      </c>
      <c r="P93" s="23" t="s">
        <v>1854</v>
      </c>
      <c r="Q93" s="23" t="s">
        <v>2884</v>
      </c>
      <c r="R93" s="23" t="s">
        <v>2368</v>
      </c>
      <c r="S93" s="23" t="s">
        <v>2369</v>
      </c>
      <c r="T93" s="23" t="s">
        <v>2879</v>
      </c>
    </row>
    <row r="94" spans="1:20" ht="66" customHeight="1" x14ac:dyDescent="0.3">
      <c r="A94" s="25" t="s">
        <v>2885</v>
      </c>
      <c r="B94" s="23" t="s">
        <v>2886</v>
      </c>
      <c r="C94" s="23" t="s">
        <v>2873</v>
      </c>
      <c r="D94" s="23" t="s">
        <v>2361</v>
      </c>
      <c r="E94" s="23" t="s">
        <v>147</v>
      </c>
      <c r="F94" s="23" t="s">
        <v>1854</v>
      </c>
      <c r="G94" s="23" t="s">
        <v>2874</v>
      </c>
      <c r="H94" s="23" t="s">
        <v>2887</v>
      </c>
      <c r="I94" s="23" t="s">
        <v>2364</v>
      </c>
      <c r="J94" s="23" t="s">
        <v>2888</v>
      </c>
      <c r="K94" s="23" t="s">
        <v>2333</v>
      </c>
      <c r="L94" s="23" t="s">
        <v>2877</v>
      </c>
      <c r="M94" s="23" t="s">
        <v>227</v>
      </c>
      <c r="N94" s="23" t="s">
        <v>228</v>
      </c>
      <c r="O94" s="23" t="s">
        <v>229</v>
      </c>
      <c r="P94" s="23" t="s">
        <v>1854</v>
      </c>
      <c r="Q94" s="23" t="s">
        <v>2889</v>
      </c>
      <c r="R94" s="23" t="s">
        <v>2368</v>
      </c>
      <c r="S94" s="23" t="s">
        <v>2369</v>
      </c>
      <c r="T94" s="23" t="s">
        <v>2879</v>
      </c>
    </row>
    <row r="95" spans="1:20" ht="66" customHeight="1" x14ac:dyDescent="0.3">
      <c r="A95" s="25" t="s">
        <v>2890</v>
      </c>
      <c r="B95" s="23" t="s">
        <v>2891</v>
      </c>
      <c r="C95" s="23" t="s">
        <v>2873</v>
      </c>
      <c r="D95" s="23" t="s">
        <v>2361</v>
      </c>
      <c r="E95" s="23" t="s">
        <v>147</v>
      </c>
      <c r="F95" s="23" t="s">
        <v>1854</v>
      </c>
      <c r="G95" s="23" t="s">
        <v>2892</v>
      </c>
      <c r="H95" s="23" t="s">
        <v>2875</v>
      </c>
      <c r="I95" s="23" t="s">
        <v>2560</v>
      </c>
      <c r="J95" s="23" t="s">
        <v>2893</v>
      </c>
      <c r="K95" s="23" t="s">
        <v>2333</v>
      </c>
      <c r="L95" s="23" t="s">
        <v>2877</v>
      </c>
      <c r="M95" s="23" t="s">
        <v>227</v>
      </c>
      <c r="N95" s="23" t="s">
        <v>228</v>
      </c>
      <c r="O95" s="23" t="s">
        <v>229</v>
      </c>
      <c r="P95" s="23" t="s">
        <v>1854</v>
      </c>
      <c r="Q95" s="23" t="s">
        <v>2894</v>
      </c>
      <c r="R95" s="23" t="s">
        <v>2563</v>
      </c>
      <c r="S95" s="23" t="s">
        <v>2369</v>
      </c>
      <c r="T95" s="23" t="s">
        <v>2879</v>
      </c>
    </row>
    <row r="96" spans="1:20" ht="66" customHeight="1" x14ac:dyDescent="0.3">
      <c r="A96" s="25" t="s">
        <v>2895</v>
      </c>
      <c r="B96" s="23" t="s">
        <v>2896</v>
      </c>
      <c r="C96" s="23" t="s">
        <v>2873</v>
      </c>
      <c r="D96" s="23" t="s">
        <v>2361</v>
      </c>
      <c r="E96" s="23" t="s">
        <v>147</v>
      </c>
      <c r="F96" s="23" t="s">
        <v>1854</v>
      </c>
      <c r="G96" s="23" t="s">
        <v>2892</v>
      </c>
      <c r="H96" s="23" t="s">
        <v>2882</v>
      </c>
      <c r="I96" s="23" t="s">
        <v>2364</v>
      </c>
      <c r="J96" s="23" t="s">
        <v>2883</v>
      </c>
      <c r="K96" s="23" t="s">
        <v>2333</v>
      </c>
      <c r="L96" s="23" t="s">
        <v>2877</v>
      </c>
      <c r="M96" s="23" t="s">
        <v>227</v>
      </c>
      <c r="N96" s="23" t="s">
        <v>228</v>
      </c>
      <c r="O96" s="23" t="s">
        <v>229</v>
      </c>
      <c r="P96" s="23" t="s">
        <v>1854</v>
      </c>
      <c r="Q96" s="23" t="s">
        <v>2889</v>
      </c>
      <c r="R96" s="23" t="s">
        <v>2368</v>
      </c>
      <c r="S96" s="23" t="s">
        <v>2369</v>
      </c>
      <c r="T96" s="23" t="s">
        <v>2879</v>
      </c>
    </row>
    <row r="97" spans="1:20" ht="66" customHeight="1" x14ac:dyDescent="0.3">
      <c r="A97" s="25" t="s">
        <v>2897</v>
      </c>
      <c r="B97" s="23" t="s">
        <v>2898</v>
      </c>
      <c r="C97" s="23" t="s">
        <v>2873</v>
      </c>
      <c r="D97" s="23" t="s">
        <v>2361</v>
      </c>
      <c r="E97" s="23" t="s">
        <v>142</v>
      </c>
      <c r="F97" s="23" t="s">
        <v>1854</v>
      </c>
      <c r="G97" s="23" t="s">
        <v>2892</v>
      </c>
      <c r="H97" s="23" t="s">
        <v>2887</v>
      </c>
      <c r="I97" s="23" t="s">
        <v>2364</v>
      </c>
      <c r="J97" s="23" t="s">
        <v>2888</v>
      </c>
      <c r="K97" s="23" t="s">
        <v>2333</v>
      </c>
      <c r="L97" s="23" t="s">
        <v>2877</v>
      </c>
      <c r="M97" s="23" t="s">
        <v>227</v>
      </c>
      <c r="N97" s="23" t="s">
        <v>228</v>
      </c>
      <c r="O97" s="23" t="s">
        <v>229</v>
      </c>
      <c r="P97" s="23" t="s">
        <v>1854</v>
      </c>
      <c r="Q97" s="23" t="s">
        <v>2899</v>
      </c>
      <c r="R97" s="23" t="s">
        <v>2368</v>
      </c>
      <c r="S97" s="23" t="s">
        <v>2369</v>
      </c>
      <c r="T97" s="23" t="s">
        <v>2879</v>
      </c>
    </row>
    <row r="98" spans="1:20" ht="66" customHeight="1" x14ac:dyDescent="0.3">
      <c r="A98" s="25" t="s">
        <v>2900</v>
      </c>
      <c r="B98" s="23" t="s">
        <v>2901</v>
      </c>
      <c r="C98" s="23" t="s">
        <v>2873</v>
      </c>
      <c r="D98" s="23" t="s">
        <v>2361</v>
      </c>
      <c r="E98" s="23" t="s">
        <v>147</v>
      </c>
      <c r="F98" s="23" t="s">
        <v>1854</v>
      </c>
      <c r="G98" s="23" t="s">
        <v>2902</v>
      </c>
      <c r="H98" s="23" t="s">
        <v>2875</v>
      </c>
      <c r="I98" s="23" t="s">
        <v>2560</v>
      </c>
      <c r="J98" s="23" t="s">
        <v>2903</v>
      </c>
      <c r="K98" s="23" t="s">
        <v>2333</v>
      </c>
      <c r="L98" s="23" t="s">
        <v>2877</v>
      </c>
      <c r="M98" s="23" t="s">
        <v>227</v>
      </c>
      <c r="N98" s="23" t="s">
        <v>228</v>
      </c>
      <c r="O98" s="23" t="s">
        <v>229</v>
      </c>
      <c r="P98" s="23" t="s">
        <v>1854</v>
      </c>
      <c r="Q98" s="23" t="s">
        <v>2904</v>
      </c>
      <c r="R98" s="23" t="s">
        <v>2563</v>
      </c>
      <c r="S98" s="23" t="s">
        <v>2369</v>
      </c>
      <c r="T98" s="23" t="s">
        <v>2879</v>
      </c>
    </row>
    <row r="99" spans="1:20" ht="78.75" customHeight="1" x14ac:dyDescent="0.3">
      <c r="A99" s="25" t="s">
        <v>2905</v>
      </c>
      <c r="B99" s="23" t="s">
        <v>2906</v>
      </c>
      <c r="C99" s="23" t="s">
        <v>2873</v>
      </c>
      <c r="D99" s="23" t="s">
        <v>2361</v>
      </c>
      <c r="E99" s="23" t="s">
        <v>155</v>
      </c>
      <c r="F99" s="23" t="s">
        <v>1854</v>
      </c>
      <c r="G99" s="23" t="s">
        <v>2902</v>
      </c>
      <c r="H99" s="23" t="s">
        <v>2882</v>
      </c>
      <c r="I99" s="23" t="s">
        <v>2560</v>
      </c>
      <c r="J99" s="23" t="s">
        <v>2903</v>
      </c>
      <c r="K99" s="23" t="s">
        <v>2333</v>
      </c>
      <c r="L99" s="23" t="s">
        <v>2495</v>
      </c>
      <c r="M99" s="23" t="s">
        <v>227</v>
      </c>
      <c r="N99" s="23" t="s">
        <v>251</v>
      </c>
      <c r="O99" s="23" t="s">
        <v>252</v>
      </c>
      <c r="P99" s="23" t="s">
        <v>1854</v>
      </c>
      <c r="Q99" s="23" t="s">
        <v>2904</v>
      </c>
      <c r="R99" s="23" t="s">
        <v>2563</v>
      </c>
      <c r="S99" s="23" t="s">
        <v>2369</v>
      </c>
      <c r="T99" s="23" t="s">
        <v>2879</v>
      </c>
    </row>
    <row r="100" spans="1:20" ht="78.75" customHeight="1" x14ac:dyDescent="0.3">
      <c r="A100" s="25" t="s">
        <v>2907</v>
      </c>
      <c r="B100" s="23" t="s">
        <v>2908</v>
      </c>
      <c r="C100" s="23" t="s">
        <v>2873</v>
      </c>
      <c r="D100" s="23" t="s">
        <v>2361</v>
      </c>
      <c r="E100" s="23" t="s">
        <v>155</v>
      </c>
      <c r="F100" s="23" t="s">
        <v>1854</v>
      </c>
      <c r="G100" s="23" t="s">
        <v>2902</v>
      </c>
      <c r="H100" s="23" t="s">
        <v>2887</v>
      </c>
      <c r="I100" s="23" t="s">
        <v>2560</v>
      </c>
      <c r="J100" s="23" t="s">
        <v>2903</v>
      </c>
      <c r="K100" s="23" t="s">
        <v>2333</v>
      </c>
      <c r="L100" s="23" t="s">
        <v>2495</v>
      </c>
      <c r="M100" s="23" t="s">
        <v>227</v>
      </c>
      <c r="N100" s="23" t="s">
        <v>251</v>
      </c>
      <c r="O100" s="23" t="s">
        <v>252</v>
      </c>
      <c r="P100" s="23" t="s">
        <v>1854</v>
      </c>
      <c r="Q100" s="23" t="s">
        <v>2904</v>
      </c>
      <c r="R100" s="23" t="s">
        <v>2563</v>
      </c>
      <c r="S100" s="23" t="s">
        <v>2369</v>
      </c>
      <c r="T100" s="23" t="s">
        <v>2879</v>
      </c>
    </row>
    <row r="101" spans="1:20" ht="66" customHeight="1" x14ac:dyDescent="0.3">
      <c r="A101" s="25" t="s">
        <v>2909</v>
      </c>
      <c r="B101" s="23" t="s">
        <v>2910</v>
      </c>
      <c r="C101" s="23" t="s">
        <v>2873</v>
      </c>
      <c r="D101" s="23" t="s">
        <v>2361</v>
      </c>
      <c r="E101" s="23" t="s">
        <v>147</v>
      </c>
      <c r="F101" s="23" t="s">
        <v>464</v>
      </c>
      <c r="G101" s="23" t="s">
        <v>2874</v>
      </c>
      <c r="H101" s="23" t="s">
        <v>2911</v>
      </c>
      <c r="I101" s="23" t="s">
        <v>2468</v>
      </c>
      <c r="J101" s="23" t="s">
        <v>2912</v>
      </c>
      <c r="K101" s="23" t="s">
        <v>2333</v>
      </c>
      <c r="L101" s="23" t="s">
        <v>2470</v>
      </c>
      <c r="M101" s="23" t="s">
        <v>227</v>
      </c>
      <c r="N101" s="23" t="s">
        <v>228</v>
      </c>
      <c r="O101" s="23" t="s">
        <v>229</v>
      </c>
      <c r="P101" s="23" t="s">
        <v>1909</v>
      </c>
      <c r="Q101" s="23" t="s">
        <v>2913</v>
      </c>
      <c r="R101" s="23" t="s">
        <v>2479</v>
      </c>
      <c r="S101" s="23" t="s">
        <v>2369</v>
      </c>
      <c r="T101" s="23" t="s">
        <v>2879</v>
      </c>
    </row>
    <row r="102" spans="1:20" ht="66" customHeight="1" x14ac:dyDescent="0.3">
      <c r="A102" s="25" t="s">
        <v>2914</v>
      </c>
      <c r="B102" s="23" t="s">
        <v>2915</v>
      </c>
      <c r="C102" s="23" t="s">
        <v>2873</v>
      </c>
      <c r="D102" s="23" t="s">
        <v>2361</v>
      </c>
      <c r="E102" s="23" t="s">
        <v>147</v>
      </c>
      <c r="F102" s="23" t="s">
        <v>464</v>
      </c>
      <c r="G102" s="23" t="s">
        <v>2874</v>
      </c>
      <c r="H102" s="23" t="s">
        <v>2916</v>
      </c>
      <c r="I102" s="23" t="s">
        <v>2468</v>
      </c>
      <c r="J102" s="23" t="s">
        <v>2917</v>
      </c>
      <c r="K102" s="23" t="s">
        <v>2333</v>
      </c>
      <c r="L102" s="23" t="s">
        <v>2470</v>
      </c>
      <c r="M102" s="23" t="s">
        <v>227</v>
      </c>
      <c r="N102" s="23" t="s">
        <v>228</v>
      </c>
      <c r="O102" s="23" t="s">
        <v>229</v>
      </c>
      <c r="P102" s="23" t="s">
        <v>1909</v>
      </c>
      <c r="Q102" s="23" t="s">
        <v>2913</v>
      </c>
      <c r="R102" s="23" t="s">
        <v>2479</v>
      </c>
      <c r="S102" s="23" t="s">
        <v>2369</v>
      </c>
      <c r="T102" s="23" t="s">
        <v>2879</v>
      </c>
    </row>
    <row r="103" spans="1:20" ht="78.75" customHeight="1" x14ac:dyDescent="0.3">
      <c r="A103" s="25" t="s">
        <v>2918</v>
      </c>
      <c r="B103" s="23" t="s">
        <v>2919</v>
      </c>
      <c r="C103" s="23" t="s">
        <v>2873</v>
      </c>
      <c r="D103" s="23" t="s">
        <v>2361</v>
      </c>
      <c r="E103" s="23" t="s">
        <v>155</v>
      </c>
      <c r="F103" s="23" t="s">
        <v>464</v>
      </c>
      <c r="G103" s="23" t="s">
        <v>2874</v>
      </c>
      <c r="H103" s="23" t="s">
        <v>2920</v>
      </c>
      <c r="I103" s="23" t="s">
        <v>2468</v>
      </c>
      <c r="J103" s="23" t="s">
        <v>2554</v>
      </c>
      <c r="K103" s="23" t="s">
        <v>2333</v>
      </c>
      <c r="L103" s="23" t="s">
        <v>2495</v>
      </c>
      <c r="M103" s="23" t="s">
        <v>227</v>
      </c>
      <c r="N103" s="23" t="s">
        <v>251</v>
      </c>
      <c r="O103" s="23" t="s">
        <v>252</v>
      </c>
      <c r="P103" s="23" t="s">
        <v>1929</v>
      </c>
      <c r="Q103" s="23" t="s">
        <v>2921</v>
      </c>
      <c r="R103" s="23" t="s">
        <v>2479</v>
      </c>
      <c r="S103" s="23" t="s">
        <v>2369</v>
      </c>
      <c r="T103" s="23" t="s">
        <v>2409</v>
      </c>
    </row>
    <row r="104" spans="1:20" ht="78.75" customHeight="1" x14ac:dyDescent="0.3">
      <c r="A104" s="25" t="s">
        <v>2922</v>
      </c>
      <c r="B104" s="23" t="s">
        <v>2923</v>
      </c>
      <c r="C104" s="23" t="s">
        <v>2873</v>
      </c>
      <c r="D104" s="23" t="s">
        <v>2361</v>
      </c>
      <c r="E104" s="23" t="s">
        <v>155</v>
      </c>
      <c r="F104" s="23" t="s">
        <v>464</v>
      </c>
      <c r="G104" s="23" t="s">
        <v>2874</v>
      </c>
      <c r="H104" s="23" t="s">
        <v>2924</v>
      </c>
      <c r="I104" s="23" t="s">
        <v>2468</v>
      </c>
      <c r="J104" s="23" t="s">
        <v>2925</v>
      </c>
      <c r="K104" s="23" t="s">
        <v>2333</v>
      </c>
      <c r="L104" s="23" t="s">
        <v>2495</v>
      </c>
      <c r="M104" s="23" t="s">
        <v>227</v>
      </c>
      <c r="N104" s="23" t="s">
        <v>251</v>
      </c>
      <c r="O104" s="23" t="s">
        <v>252</v>
      </c>
      <c r="P104" s="23" t="s">
        <v>1929</v>
      </c>
      <c r="Q104" s="23" t="s">
        <v>2926</v>
      </c>
      <c r="R104" s="23" t="s">
        <v>2479</v>
      </c>
      <c r="S104" s="23" t="s">
        <v>2369</v>
      </c>
      <c r="T104" s="23" t="s">
        <v>2409</v>
      </c>
    </row>
    <row r="105" spans="1:20" ht="78.75" customHeight="1" x14ac:dyDescent="0.3">
      <c r="A105" s="25" t="s">
        <v>2927</v>
      </c>
      <c r="B105" s="23" t="s">
        <v>2928</v>
      </c>
      <c r="C105" s="23" t="s">
        <v>2873</v>
      </c>
      <c r="D105" s="23" t="s">
        <v>2361</v>
      </c>
      <c r="E105" s="23" t="s">
        <v>155</v>
      </c>
      <c r="F105" s="23" t="s">
        <v>464</v>
      </c>
      <c r="G105" s="23" t="s">
        <v>2450</v>
      </c>
      <c r="H105" s="23" t="s">
        <v>2929</v>
      </c>
      <c r="I105" s="23" t="s">
        <v>2712</v>
      </c>
      <c r="J105" s="23" t="s">
        <v>2713</v>
      </c>
      <c r="K105" s="23" t="s">
        <v>2333</v>
      </c>
      <c r="L105" s="23" t="s">
        <v>2495</v>
      </c>
      <c r="M105" s="23" t="s">
        <v>227</v>
      </c>
      <c r="N105" s="23" t="s">
        <v>251</v>
      </c>
      <c r="O105" s="23" t="s">
        <v>252</v>
      </c>
      <c r="P105" s="23" t="s">
        <v>1909</v>
      </c>
      <c r="Q105" s="23" t="s">
        <v>2921</v>
      </c>
      <c r="R105" s="23" t="s">
        <v>2715</v>
      </c>
      <c r="S105" s="23" t="s">
        <v>2369</v>
      </c>
      <c r="T105" s="23" t="s">
        <v>2409</v>
      </c>
    </row>
    <row r="106" spans="1:20" ht="78.75" customHeight="1" x14ac:dyDescent="0.3">
      <c r="A106" s="25" t="s">
        <v>2930</v>
      </c>
      <c r="B106" s="23" t="s">
        <v>2931</v>
      </c>
      <c r="C106" s="23" t="s">
        <v>2873</v>
      </c>
      <c r="D106" s="23" t="s">
        <v>2361</v>
      </c>
      <c r="E106" s="23" t="s">
        <v>256</v>
      </c>
      <c r="F106" s="23" t="s">
        <v>464</v>
      </c>
      <c r="G106" s="23" t="s">
        <v>2450</v>
      </c>
      <c r="H106" s="23" t="s">
        <v>2932</v>
      </c>
      <c r="I106" s="23" t="s">
        <v>2468</v>
      </c>
      <c r="J106" s="23" t="s">
        <v>2933</v>
      </c>
      <c r="K106" s="23" t="s">
        <v>2333</v>
      </c>
      <c r="L106" s="23" t="s">
        <v>2495</v>
      </c>
      <c r="M106" s="23" t="s">
        <v>227</v>
      </c>
      <c r="N106" s="23" t="s">
        <v>251</v>
      </c>
      <c r="O106" s="23" t="s">
        <v>252</v>
      </c>
      <c r="P106" s="23" t="s">
        <v>1928</v>
      </c>
      <c r="Q106" s="23" t="s">
        <v>2934</v>
      </c>
      <c r="R106" s="23" t="s">
        <v>2479</v>
      </c>
      <c r="S106" s="23" t="s">
        <v>2369</v>
      </c>
      <c r="T106" s="23" t="s">
        <v>2409</v>
      </c>
    </row>
    <row r="107" spans="1:20" ht="78.75" customHeight="1" x14ac:dyDescent="0.3">
      <c r="A107" s="25" t="s">
        <v>2935</v>
      </c>
      <c r="B107" s="23" t="s">
        <v>2936</v>
      </c>
      <c r="C107" s="23" t="s">
        <v>2873</v>
      </c>
      <c r="D107" s="23" t="s">
        <v>2361</v>
      </c>
      <c r="E107" s="23" t="s">
        <v>142</v>
      </c>
      <c r="F107" s="23" t="s">
        <v>2373</v>
      </c>
      <c r="G107" s="23" t="s">
        <v>2937</v>
      </c>
      <c r="H107" s="23" t="s">
        <v>2938</v>
      </c>
      <c r="I107" s="23" t="s">
        <v>2712</v>
      </c>
      <c r="J107" s="23" t="s">
        <v>2939</v>
      </c>
      <c r="K107" s="23" t="s">
        <v>2333</v>
      </c>
      <c r="L107" s="23" t="s">
        <v>2807</v>
      </c>
      <c r="M107" s="23" t="s">
        <v>227</v>
      </c>
      <c r="N107" s="23" t="s">
        <v>228</v>
      </c>
      <c r="O107" s="23" t="s">
        <v>229</v>
      </c>
      <c r="P107" s="23" t="s">
        <v>1929</v>
      </c>
      <c r="Q107" s="23" t="s">
        <v>2940</v>
      </c>
      <c r="R107" s="23" t="s">
        <v>2715</v>
      </c>
      <c r="S107" s="23" t="s">
        <v>2369</v>
      </c>
      <c r="T107" s="23" t="s">
        <v>2879</v>
      </c>
    </row>
    <row r="108" spans="1:20" ht="93" customHeight="1" x14ac:dyDescent="0.3">
      <c r="A108" s="25" t="s">
        <v>2941</v>
      </c>
      <c r="B108" s="23" t="s">
        <v>2942</v>
      </c>
      <c r="C108" s="23" t="s">
        <v>2873</v>
      </c>
      <c r="D108" s="23" t="s">
        <v>2361</v>
      </c>
      <c r="E108" s="23" t="s">
        <v>142</v>
      </c>
      <c r="F108" s="23" t="s">
        <v>1854</v>
      </c>
      <c r="G108" s="23" t="s">
        <v>2943</v>
      </c>
      <c r="H108" s="23" t="s">
        <v>2944</v>
      </c>
      <c r="I108" s="23" t="s">
        <v>2578</v>
      </c>
      <c r="J108" s="23" t="s">
        <v>2945</v>
      </c>
      <c r="K108" s="23" t="s">
        <v>2333</v>
      </c>
      <c r="L108" s="23" t="s">
        <v>2877</v>
      </c>
      <c r="M108" s="23" t="s">
        <v>227</v>
      </c>
      <c r="N108" s="23" t="s">
        <v>228</v>
      </c>
      <c r="O108" s="23" t="s">
        <v>229</v>
      </c>
      <c r="P108" s="23" t="s">
        <v>1854</v>
      </c>
      <c r="Q108" s="23" t="s">
        <v>2946</v>
      </c>
      <c r="R108" s="23" t="s">
        <v>2581</v>
      </c>
      <c r="S108" s="23" t="s">
        <v>2369</v>
      </c>
      <c r="T108" s="23" t="s">
        <v>2879</v>
      </c>
    </row>
    <row r="109" spans="1:20" ht="93" customHeight="1" x14ac:dyDescent="0.3">
      <c r="A109" s="25" t="s">
        <v>2947</v>
      </c>
      <c r="B109" s="23" t="s">
        <v>2948</v>
      </c>
      <c r="C109" s="23" t="s">
        <v>2873</v>
      </c>
      <c r="D109" s="23" t="s">
        <v>2361</v>
      </c>
      <c r="E109" s="23" t="s">
        <v>142</v>
      </c>
      <c r="F109" s="23" t="s">
        <v>1854</v>
      </c>
      <c r="G109" s="23" t="s">
        <v>2949</v>
      </c>
      <c r="H109" s="23" t="s">
        <v>2944</v>
      </c>
      <c r="I109" s="23" t="s">
        <v>2578</v>
      </c>
      <c r="J109" s="23" t="s">
        <v>2950</v>
      </c>
      <c r="K109" s="23" t="s">
        <v>2333</v>
      </c>
      <c r="L109" s="23" t="s">
        <v>2877</v>
      </c>
      <c r="M109" s="23" t="s">
        <v>227</v>
      </c>
      <c r="N109" s="23" t="s">
        <v>228</v>
      </c>
      <c r="O109" s="23" t="s">
        <v>229</v>
      </c>
      <c r="P109" s="23" t="s">
        <v>1854</v>
      </c>
      <c r="Q109" s="23" t="s">
        <v>2946</v>
      </c>
      <c r="R109" s="23" t="s">
        <v>2581</v>
      </c>
      <c r="S109" s="23" t="s">
        <v>2369</v>
      </c>
      <c r="T109" s="23" t="s">
        <v>2879</v>
      </c>
    </row>
    <row r="110" spans="1:20" ht="66" customHeight="1" x14ac:dyDescent="0.3">
      <c r="A110" s="25" t="s">
        <v>2951</v>
      </c>
      <c r="B110" s="23" t="s">
        <v>2952</v>
      </c>
      <c r="C110" s="23" t="s">
        <v>2953</v>
      </c>
      <c r="D110" s="23" t="s">
        <v>2361</v>
      </c>
      <c r="E110" s="23" t="s">
        <v>142</v>
      </c>
      <c r="F110" s="23" t="s">
        <v>1854</v>
      </c>
      <c r="G110" s="23" t="s">
        <v>2892</v>
      </c>
      <c r="H110" s="23" t="s">
        <v>2954</v>
      </c>
      <c r="I110" s="23" t="s">
        <v>2364</v>
      </c>
      <c r="J110" s="23" t="s">
        <v>2955</v>
      </c>
      <c r="K110" s="23" t="s">
        <v>2336</v>
      </c>
      <c r="L110" s="23" t="s">
        <v>2877</v>
      </c>
      <c r="M110" s="23" t="s">
        <v>227</v>
      </c>
      <c r="N110" s="23" t="s">
        <v>228</v>
      </c>
      <c r="O110" s="23" t="s">
        <v>229</v>
      </c>
      <c r="P110" s="23" t="s">
        <v>1854</v>
      </c>
      <c r="Q110" s="23" t="s">
        <v>2956</v>
      </c>
      <c r="R110" s="23" t="s">
        <v>2368</v>
      </c>
      <c r="S110" s="23" t="s">
        <v>2369</v>
      </c>
      <c r="T110" s="23" t="s">
        <v>2879</v>
      </c>
    </row>
    <row r="111" spans="1:20" ht="66" customHeight="1" x14ac:dyDescent="0.3">
      <c r="A111" s="25" t="s">
        <v>2957</v>
      </c>
      <c r="B111" s="23" t="s">
        <v>2958</v>
      </c>
      <c r="C111" s="23" t="s">
        <v>2953</v>
      </c>
      <c r="D111" s="23" t="s">
        <v>2361</v>
      </c>
      <c r="E111" s="23" t="s">
        <v>147</v>
      </c>
      <c r="F111" s="23" t="s">
        <v>1854</v>
      </c>
      <c r="G111" s="23" t="s">
        <v>2874</v>
      </c>
      <c r="H111" s="23" t="s">
        <v>2954</v>
      </c>
      <c r="I111" s="23" t="s">
        <v>2560</v>
      </c>
      <c r="J111" s="23" t="s">
        <v>2959</v>
      </c>
      <c r="K111" s="23" t="s">
        <v>2336</v>
      </c>
      <c r="L111" s="23" t="s">
        <v>2877</v>
      </c>
      <c r="M111" s="23" t="s">
        <v>227</v>
      </c>
      <c r="N111" s="23" t="s">
        <v>228</v>
      </c>
      <c r="O111" s="23" t="s">
        <v>229</v>
      </c>
      <c r="P111" s="23" t="s">
        <v>1854</v>
      </c>
      <c r="Q111" s="23" t="s">
        <v>2960</v>
      </c>
      <c r="R111" s="23" t="s">
        <v>2563</v>
      </c>
      <c r="S111" s="23" t="s">
        <v>2369</v>
      </c>
      <c r="T111" s="23" t="s">
        <v>2879</v>
      </c>
    </row>
    <row r="112" spans="1:20" ht="66" customHeight="1" x14ac:dyDescent="0.3">
      <c r="A112" s="25" t="s">
        <v>2961</v>
      </c>
      <c r="B112" s="23" t="s">
        <v>2962</v>
      </c>
      <c r="C112" s="23" t="s">
        <v>2953</v>
      </c>
      <c r="D112" s="23" t="s">
        <v>2361</v>
      </c>
      <c r="E112" s="23" t="s">
        <v>142</v>
      </c>
      <c r="F112" s="23" t="s">
        <v>1854</v>
      </c>
      <c r="G112" s="23" t="s">
        <v>2963</v>
      </c>
      <c r="H112" s="23" t="s">
        <v>2954</v>
      </c>
      <c r="I112" s="23" t="s">
        <v>2560</v>
      </c>
      <c r="J112" s="23" t="s">
        <v>2964</v>
      </c>
      <c r="K112" s="23" t="s">
        <v>2336</v>
      </c>
      <c r="L112" s="23" t="s">
        <v>2877</v>
      </c>
      <c r="M112" s="23" t="s">
        <v>227</v>
      </c>
      <c r="N112" s="23" t="s">
        <v>228</v>
      </c>
      <c r="O112" s="23" t="s">
        <v>229</v>
      </c>
      <c r="P112" s="23" t="s">
        <v>1854</v>
      </c>
      <c r="Q112" s="23" t="s">
        <v>2965</v>
      </c>
      <c r="R112" s="23" t="s">
        <v>2563</v>
      </c>
      <c r="S112" s="23" t="s">
        <v>2369</v>
      </c>
      <c r="T112" s="23" t="s">
        <v>2879</v>
      </c>
    </row>
    <row r="113" spans="1:20" ht="66" customHeight="1" x14ac:dyDescent="0.3">
      <c r="A113" s="25" t="s">
        <v>2966</v>
      </c>
      <c r="B113" s="23" t="s">
        <v>2967</v>
      </c>
      <c r="C113" s="23" t="s">
        <v>2953</v>
      </c>
      <c r="D113" s="23" t="s">
        <v>2361</v>
      </c>
      <c r="E113" s="23" t="s">
        <v>147</v>
      </c>
      <c r="F113" s="23" t="s">
        <v>1854</v>
      </c>
      <c r="G113" s="23" t="s">
        <v>2968</v>
      </c>
      <c r="H113" s="23" t="s">
        <v>2954</v>
      </c>
      <c r="I113" s="23" t="s">
        <v>2560</v>
      </c>
      <c r="J113" s="23" t="s">
        <v>2969</v>
      </c>
      <c r="K113" s="23" t="s">
        <v>2336</v>
      </c>
      <c r="L113" s="23" t="s">
        <v>2877</v>
      </c>
      <c r="M113" s="23" t="s">
        <v>227</v>
      </c>
      <c r="N113" s="23" t="s">
        <v>228</v>
      </c>
      <c r="O113" s="23" t="s">
        <v>229</v>
      </c>
      <c r="P113" s="23" t="s">
        <v>1854</v>
      </c>
      <c r="Q113" s="23" t="s">
        <v>2965</v>
      </c>
      <c r="R113" s="23" t="s">
        <v>2563</v>
      </c>
      <c r="S113" s="23" t="s">
        <v>2369</v>
      </c>
      <c r="T113" s="23" t="s">
        <v>2879</v>
      </c>
    </row>
    <row r="114" spans="1:20" ht="78.75" customHeight="1" x14ac:dyDescent="0.3">
      <c r="A114" s="25" t="s">
        <v>2970</v>
      </c>
      <c r="B114" s="23" t="s">
        <v>2971</v>
      </c>
      <c r="C114" s="23" t="s">
        <v>2953</v>
      </c>
      <c r="D114" s="23" t="s">
        <v>2361</v>
      </c>
      <c r="E114" s="23" t="s">
        <v>142</v>
      </c>
      <c r="F114" s="23" t="s">
        <v>236</v>
      </c>
      <c r="G114" s="23" t="s">
        <v>2972</v>
      </c>
      <c r="H114" s="23" t="s">
        <v>2973</v>
      </c>
      <c r="I114" s="23" t="s">
        <v>2433</v>
      </c>
      <c r="J114" s="23" t="s">
        <v>2974</v>
      </c>
      <c r="K114" s="23" t="s">
        <v>2336</v>
      </c>
      <c r="L114" s="23" t="s">
        <v>2366</v>
      </c>
      <c r="M114" s="23" t="s">
        <v>227</v>
      </c>
      <c r="N114" s="23" t="s">
        <v>228</v>
      </c>
      <c r="O114" s="23" t="s">
        <v>229</v>
      </c>
      <c r="P114" s="23" t="s">
        <v>1854</v>
      </c>
      <c r="Q114" s="23" t="s">
        <v>2975</v>
      </c>
      <c r="R114" s="23" t="s">
        <v>2445</v>
      </c>
      <c r="S114" s="23" t="s">
        <v>2369</v>
      </c>
      <c r="T114" s="23" t="s">
        <v>2879</v>
      </c>
    </row>
    <row r="115" spans="1:20" ht="78.75" customHeight="1" x14ac:dyDescent="0.3">
      <c r="A115" s="25" t="s">
        <v>2976</v>
      </c>
      <c r="B115" s="23" t="s">
        <v>2977</v>
      </c>
      <c r="C115" s="23" t="s">
        <v>2953</v>
      </c>
      <c r="D115" s="23" t="s">
        <v>2361</v>
      </c>
      <c r="E115" s="23" t="s">
        <v>155</v>
      </c>
      <c r="F115" s="23" t="s">
        <v>1854</v>
      </c>
      <c r="G115" s="23" t="s">
        <v>2874</v>
      </c>
      <c r="H115" s="23" t="s">
        <v>2978</v>
      </c>
      <c r="I115" s="23" t="s">
        <v>2979</v>
      </c>
      <c r="J115" s="23" t="s">
        <v>2980</v>
      </c>
      <c r="K115" s="23" t="s">
        <v>2336</v>
      </c>
      <c r="L115" s="23" t="s">
        <v>2495</v>
      </c>
      <c r="M115" s="23" t="s">
        <v>227</v>
      </c>
      <c r="N115" s="23" t="s">
        <v>251</v>
      </c>
      <c r="O115" s="23" t="s">
        <v>252</v>
      </c>
      <c r="P115" s="23" t="s">
        <v>1854</v>
      </c>
      <c r="Q115" s="23" t="s">
        <v>2981</v>
      </c>
      <c r="R115" s="23" t="s">
        <v>2982</v>
      </c>
      <c r="S115" s="23" t="s">
        <v>2369</v>
      </c>
      <c r="T115" s="23" t="s">
        <v>2409</v>
      </c>
    </row>
    <row r="116" spans="1:20" ht="78.75" customHeight="1" x14ac:dyDescent="0.3">
      <c r="A116" s="25" t="s">
        <v>2983</v>
      </c>
      <c r="B116" s="23" t="s">
        <v>2984</v>
      </c>
      <c r="C116" s="23" t="s">
        <v>2953</v>
      </c>
      <c r="D116" s="23" t="s">
        <v>2361</v>
      </c>
      <c r="E116" s="23" t="s">
        <v>155</v>
      </c>
      <c r="F116" s="23" t="s">
        <v>464</v>
      </c>
      <c r="G116" s="23" t="s">
        <v>2450</v>
      </c>
      <c r="H116" s="23" t="s">
        <v>2985</v>
      </c>
      <c r="I116" s="23" t="s">
        <v>2712</v>
      </c>
      <c r="J116" s="23" t="s">
        <v>2713</v>
      </c>
      <c r="K116" s="23" t="s">
        <v>2336</v>
      </c>
      <c r="L116" s="23" t="s">
        <v>2495</v>
      </c>
      <c r="M116" s="23" t="s">
        <v>227</v>
      </c>
      <c r="N116" s="23" t="s">
        <v>251</v>
      </c>
      <c r="O116" s="23" t="s">
        <v>252</v>
      </c>
      <c r="P116" s="23" t="s">
        <v>1909</v>
      </c>
      <c r="Q116" s="23" t="s">
        <v>2986</v>
      </c>
      <c r="R116" s="23" t="s">
        <v>2715</v>
      </c>
      <c r="S116" s="23" t="s">
        <v>2369</v>
      </c>
      <c r="T116" s="23" t="s">
        <v>2409</v>
      </c>
    </row>
    <row r="117" spans="1:20" ht="51.75" customHeight="1" x14ac:dyDescent="0.3">
      <c r="A117" s="25" t="s">
        <v>2987</v>
      </c>
      <c r="B117" s="23" t="s">
        <v>2988</v>
      </c>
      <c r="C117" s="23" t="s">
        <v>2419</v>
      </c>
      <c r="D117" s="23" t="s">
        <v>2383</v>
      </c>
      <c r="E117" s="23" t="s">
        <v>147</v>
      </c>
      <c r="F117" s="23" t="s">
        <v>236</v>
      </c>
      <c r="G117" s="23" t="s">
        <v>2450</v>
      </c>
      <c r="H117" s="23" t="s">
        <v>2602</v>
      </c>
      <c r="I117" s="23" t="s">
        <v>2364</v>
      </c>
      <c r="J117" s="23" t="s">
        <v>2989</v>
      </c>
      <c r="K117" s="23" t="s">
        <v>2339</v>
      </c>
      <c r="L117" s="23" t="s">
        <v>2366</v>
      </c>
      <c r="M117" s="23" t="s">
        <v>227</v>
      </c>
      <c r="N117" s="23" t="s">
        <v>228</v>
      </c>
      <c r="O117" s="23" t="s">
        <v>229</v>
      </c>
      <c r="P117" s="23" t="s">
        <v>1909</v>
      </c>
      <c r="Q117" s="23" t="s">
        <v>2990</v>
      </c>
      <c r="R117" s="23" t="s">
        <v>2368</v>
      </c>
      <c r="S117" s="23" t="s">
        <v>2369</v>
      </c>
      <c r="T117" s="23" t="s">
        <v>2991</v>
      </c>
    </row>
    <row r="118" spans="1:20" ht="51.75" customHeight="1" x14ac:dyDescent="0.3">
      <c r="A118" s="25" t="s">
        <v>2992</v>
      </c>
      <c r="B118" s="23" t="s">
        <v>2993</v>
      </c>
      <c r="C118" s="23" t="s">
        <v>2419</v>
      </c>
      <c r="D118" s="23" t="s">
        <v>2383</v>
      </c>
      <c r="E118" s="23" t="s">
        <v>147</v>
      </c>
      <c r="F118" s="23" t="s">
        <v>236</v>
      </c>
      <c r="G118" s="23" t="s">
        <v>2450</v>
      </c>
      <c r="H118" s="23" t="s">
        <v>2602</v>
      </c>
      <c r="I118" s="23" t="s">
        <v>2364</v>
      </c>
      <c r="J118" s="23" t="s">
        <v>2994</v>
      </c>
      <c r="K118" s="23" t="s">
        <v>2339</v>
      </c>
      <c r="L118" s="23" t="s">
        <v>2995</v>
      </c>
      <c r="M118" s="23" t="s">
        <v>227</v>
      </c>
      <c r="N118" s="23" t="s">
        <v>228</v>
      </c>
      <c r="O118" s="23" t="s">
        <v>229</v>
      </c>
      <c r="P118" s="23" t="s">
        <v>1909</v>
      </c>
      <c r="Q118" s="23" t="s">
        <v>2996</v>
      </c>
      <c r="R118" s="23" t="s">
        <v>2368</v>
      </c>
      <c r="S118" s="23" t="s">
        <v>2369</v>
      </c>
      <c r="T118" s="23" t="s">
        <v>2991</v>
      </c>
    </row>
    <row r="119" spans="1:20" ht="78.75" customHeight="1" x14ac:dyDescent="0.3">
      <c r="A119" s="25" t="s">
        <v>2997</v>
      </c>
      <c r="B119" s="23" t="s">
        <v>2998</v>
      </c>
      <c r="C119" s="23" t="s">
        <v>2419</v>
      </c>
      <c r="D119" s="23" t="s">
        <v>2383</v>
      </c>
      <c r="E119" s="23" t="s">
        <v>147</v>
      </c>
      <c r="F119" s="23" t="s">
        <v>236</v>
      </c>
      <c r="G119" s="23" t="s">
        <v>2450</v>
      </c>
      <c r="H119" s="23" t="s">
        <v>2602</v>
      </c>
      <c r="I119" s="23" t="s">
        <v>2364</v>
      </c>
      <c r="J119" s="23" t="s">
        <v>2999</v>
      </c>
      <c r="K119" s="23" t="s">
        <v>2339</v>
      </c>
      <c r="L119" s="23" t="s">
        <v>2366</v>
      </c>
      <c r="M119" s="23" t="s">
        <v>227</v>
      </c>
      <c r="N119" s="23" t="s">
        <v>228</v>
      </c>
      <c r="O119" s="23" t="s">
        <v>229</v>
      </c>
      <c r="P119" s="23" t="s">
        <v>1909</v>
      </c>
      <c r="Q119" s="23" t="s">
        <v>2996</v>
      </c>
      <c r="R119" s="23" t="s">
        <v>2368</v>
      </c>
      <c r="S119" s="23" t="s">
        <v>2369</v>
      </c>
      <c r="T119" s="23" t="s">
        <v>2991</v>
      </c>
    </row>
    <row r="120" spans="1:20" ht="51.75" customHeight="1" x14ac:dyDescent="0.3">
      <c r="A120" s="25" t="s">
        <v>3000</v>
      </c>
      <c r="B120" s="23" t="s">
        <v>3001</v>
      </c>
      <c r="C120" s="23" t="s">
        <v>2419</v>
      </c>
      <c r="D120" s="23" t="s">
        <v>2383</v>
      </c>
      <c r="E120" s="23" t="s">
        <v>147</v>
      </c>
      <c r="F120" s="23" t="s">
        <v>236</v>
      </c>
      <c r="G120" s="23" t="s">
        <v>2450</v>
      </c>
      <c r="H120" s="23" t="s">
        <v>3002</v>
      </c>
      <c r="I120" s="23" t="s">
        <v>2364</v>
      </c>
      <c r="J120" s="23" t="s">
        <v>3003</v>
      </c>
      <c r="K120" s="23" t="s">
        <v>2339</v>
      </c>
      <c r="L120" s="23" t="s">
        <v>2366</v>
      </c>
      <c r="M120" s="23" t="s">
        <v>227</v>
      </c>
      <c r="N120" s="23" t="s">
        <v>228</v>
      </c>
      <c r="O120" s="23" t="s">
        <v>229</v>
      </c>
      <c r="P120" s="23" t="s">
        <v>1909</v>
      </c>
      <c r="Q120" s="23" t="s">
        <v>3004</v>
      </c>
      <c r="R120" s="23" t="s">
        <v>2368</v>
      </c>
      <c r="S120" s="23" t="s">
        <v>2369</v>
      </c>
      <c r="T120" s="23" t="s">
        <v>2991</v>
      </c>
    </row>
    <row r="121" spans="1:20" ht="78.75" customHeight="1" x14ac:dyDescent="0.3">
      <c r="A121" s="25" t="s">
        <v>3005</v>
      </c>
      <c r="B121" s="23" t="s">
        <v>3006</v>
      </c>
      <c r="C121" s="23" t="s">
        <v>2419</v>
      </c>
      <c r="D121" s="23" t="s">
        <v>2383</v>
      </c>
      <c r="E121" s="23" t="s">
        <v>155</v>
      </c>
      <c r="F121" s="23" t="s">
        <v>236</v>
      </c>
      <c r="G121" s="23" t="s">
        <v>2450</v>
      </c>
      <c r="H121" s="23" t="s">
        <v>3007</v>
      </c>
      <c r="I121" s="23" t="s">
        <v>2364</v>
      </c>
      <c r="J121" s="23" t="s">
        <v>3008</v>
      </c>
      <c r="K121" s="23" t="s">
        <v>2339</v>
      </c>
      <c r="L121" s="23" t="s">
        <v>2495</v>
      </c>
      <c r="M121" s="23" t="s">
        <v>227</v>
      </c>
      <c r="N121" s="23" t="s">
        <v>251</v>
      </c>
      <c r="O121" s="23" t="s">
        <v>252</v>
      </c>
      <c r="P121" s="23" t="s">
        <v>1909</v>
      </c>
      <c r="Q121" s="23" t="s">
        <v>3009</v>
      </c>
      <c r="R121" s="23" t="s">
        <v>2368</v>
      </c>
      <c r="S121" s="23" t="s">
        <v>2369</v>
      </c>
      <c r="T121" s="23" t="s">
        <v>2409</v>
      </c>
    </row>
    <row r="122" spans="1:20" ht="78.75" customHeight="1" x14ac:dyDescent="0.3">
      <c r="A122" s="25" t="s">
        <v>3010</v>
      </c>
      <c r="B122" s="23" t="s">
        <v>3011</v>
      </c>
      <c r="C122" s="23" t="s">
        <v>2419</v>
      </c>
      <c r="D122" s="23" t="s">
        <v>2383</v>
      </c>
      <c r="E122" s="23" t="s">
        <v>155</v>
      </c>
      <c r="F122" s="23" t="s">
        <v>236</v>
      </c>
      <c r="G122" s="23" t="s">
        <v>2450</v>
      </c>
      <c r="H122" s="23" t="s">
        <v>3012</v>
      </c>
      <c r="I122" s="23" t="s">
        <v>2364</v>
      </c>
      <c r="J122" s="23" t="s">
        <v>3013</v>
      </c>
      <c r="K122" s="23" t="s">
        <v>2339</v>
      </c>
      <c r="L122" s="23" t="s">
        <v>2495</v>
      </c>
      <c r="M122" s="23" t="s">
        <v>227</v>
      </c>
      <c r="N122" s="23" t="s">
        <v>251</v>
      </c>
      <c r="O122" s="23" t="s">
        <v>252</v>
      </c>
      <c r="P122" s="23" t="s">
        <v>1909</v>
      </c>
      <c r="Q122" s="23" t="s">
        <v>3009</v>
      </c>
      <c r="R122" s="23" t="s">
        <v>2368</v>
      </c>
      <c r="S122" s="23" t="s">
        <v>2369</v>
      </c>
      <c r="T122" s="23" t="s">
        <v>2409</v>
      </c>
    </row>
    <row r="123" spans="1:20" ht="51.75" customHeight="1" x14ac:dyDescent="0.3">
      <c r="A123" s="25" t="s">
        <v>3014</v>
      </c>
      <c r="B123" s="23" t="s">
        <v>3015</v>
      </c>
      <c r="C123" s="23" t="s">
        <v>2419</v>
      </c>
      <c r="D123" s="23" t="s">
        <v>2383</v>
      </c>
      <c r="E123" s="23" t="s">
        <v>147</v>
      </c>
      <c r="F123" s="23" t="s">
        <v>464</v>
      </c>
      <c r="G123" s="23" t="s">
        <v>2450</v>
      </c>
      <c r="H123" s="23" t="s">
        <v>3016</v>
      </c>
      <c r="I123" s="23" t="s">
        <v>2468</v>
      </c>
      <c r="J123" s="23" t="s">
        <v>3017</v>
      </c>
      <c r="K123" s="23" t="s">
        <v>2339</v>
      </c>
      <c r="L123" s="23" t="s">
        <v>2470</v>
      </c>
      <c r="M123" s="23" t="s">
        <v>227</v>
      </c>
      <c r="N123" s="23" t="s">
        <v>228</v>
      </c>
      <c r="O123" s="23" t="s">
        <v>229</v>
      </c>
      <c r="P123" s="23" t="s">
        <v>1909</v>
      </c>
      <c r="Q123" s="23" t="s">
        <v>3018</v>
      </c>
      <c r="R123" s="23" t="s">
        <v>2479</v>
      </c>
      <c r="S123" s="23" t="s">
        <v>2369</v>
      </c>
      <c r="T123" s="23" t="s">
        <v>2991</v>
      </c>
    </row>
    <row r="124" spans="1:20" ht="78.75" customHeight="1" x14ac:dyDescent="0.3">
      <c r="A124" s="25" t="s">
        <v>3019</v>
      </c>
      <c r="B124" s="23" t="s">
        <v>3020</v>
      </c>
      <c r="C124" s="23" t="s">
        <v>2419</v>
      </c>
      <c r="D124" s="23" t="s">
        <v>2383</v>
      </c>
      <c r="E124" s="23" t="s">
        <v>256</v>
      </c>
      <c r="F124" s="23" t="s">
        <v>464</v>
      </c>
      <c r="G124" s="23" t="s">
        <v>2450</v>
      </c>
      <c r="H124" s="23" t="s">
        <v>3021</v>
      </c>
      <c r="I124" s="23" t="s">
        <v>2468</v>
      </c>
      <c r="J124" s="23" t="s">
        <v>3022</v>
      </c>
      <c r="K124" s="23" t="s">
        <v>2339</v>
      </c>
      <c r="L124" s="23" t="s">
        <v>2495</v>
      </c>
      <c r="M124" s="23" t="s">
        <v>227</v>
      </c>
      <c r="N124" s="23" t="s">
        <v>251</v>
      </c>
      <c r="O124" s="23" t="s">
        <v>252</v>
      </c>
      <c r="P124" s="23" t="s">
        <v>1929</v>
      </c>
      <c r="Q124" s="23" t="s">
        <v>3009</v>
      </c>
      <c r="R124" s="23" t="s">
        <v>2479</v>
      </c>
      <c r="S124" s="23" t="s">
        <v>2369</v>
      </c>
      <c r="T124" s="23" t="s">
        <v>2991</v>
      </c>
    </row>
    <row r="125" spans="1:20" ht="66" customHeight="1" x14ac:dyDescent="0.3">
      <c r="A125" s="25" t="s">
        <v>3023</v>
      </c>
      <c r="B125" s="23" t="s">
        <v>3024</v>
      </c>
      <c r="C125" s="23" t="s">
        <v>2419</v>
      </c>
      <c r="D125" s="23" t="s">
        <v>2383</v>
      </c>
      <c r="E125" s="23" t="s">
        <v>147</v>
      </c>
      <c r="F125" s="23" t="s">
        <v>2449</v>
      </c>
      <c r="G125" s="23" t="s">
        <v>2450</v>
      </c>
      <c r="H125" s="23" t="s">
        <v>2602</v>
      </c>
      <c r="I125" s="23" t="s">
        <v>2364</v>
      </c>
      <c r="J125" s="23" t="s">
        <v>3025</v>
      </c>
      <c r="K125" s="23" t="s">
        <v>2339</v>
      </c>
      <c r="L125" s="23" t="s">
        <v>2759</v>
      </c>
      <c r="M125" s="23" t="s">
        <v>227</v>
      </c>
      <c r="N125" s="23" t="s">
        <v>228</v>
      </c>
      <c r="O125" s="23" t="s">
        <v>229</v>
      </c>
      <c r="P125" s="23" t="s">
        <v>1830</v>
      </c>
      <c r="Q125" s="23" t="s">
        <v>2990</v>
      </c>
      <c r="R125" s="23" t="s">
        <v>2368</v>
      </c>
      <c r="S125" s="23" t="s">
        <v>2369</v>
      </c>
      <c r="T125" s="23" t="s">
        <v>2991</v>
      </c>
    </row>
    <row r="126" spans="1:20" ht="93" customHeight="1" x14ac:dyDescent="0.3">
      <c r="A126" s="25" t="s">
        <v>3026</v>
      </c>
      <c r="B126" s="23" t="s">
        <v>3027</v>
      </c>
      <c r="C126" s="23" t="s">
        <v>3028</v>
      </c>
      <c r="D126" s="23" t="s">
        <v>2361</v>
      </c>
      <c r="E126" s="23" t="s">
        <v>142</v>
      </c>
      <c r="F126" s="23" t="s">
        <v>236</v>
      </c>
      <c r="G126" s="23" t="s">
        <v>3029</v>
      </c>
      <c r="H126" s="23" t="s">
        <v>3030</v>
      </c>
      <c r="I126" s="23" t="s">
        <v>2433</v>
      </c>
      <c r="J126" s="23" t="s">
        <v>3031</v>
      </c>
      <c r="K126" s="23" t="s">
        <v>2342</v>
      </c>
      <c r="L126" s="23" t="s">
        <v>2366</v>
      </c>
      <c r="M126" s="23" t="s">
        <v>227</v>
      </c>
      <c r="N126" s="23" t="s">
        <v>228</v>
      </c>
      <c r="O126" s="23" t="s">
        <v>229</v>
      </c>
      <c r="P126" s="23" t="s">
        <v>1909</v>
      </c>
      <c r="Q126" s="23" t="s">
        <v>3032</v>
      </c>
      <c r="R126" s="23" t="s">
        <v>3033</v>
      </c>
      <c r="S126" s="23" t="s">
        <v>2369</v>
      </c>
      <c r="T126" s="23" t="s">
        <v>3034</v>
      </c>
    </row>
    <row r="127" spans="1:20" ht="93" customHeight="1" x14ac:dyDescent="0.3">
      <c r="A127" s="25" t="s">
        <v>3035</v>
      </c>
      <c r="B127" s="23" t="s">
        <v>3036</v>
      </c>
      <c r="C127" s="23" t="s">
        <v>3028</v>
      </c>
      <c r="D127" s="23" t="s">
        <v>2361</v>
      </c>
      <c r="E127" s="23" t="s">
        <v>147</v>
      </c>
      <c r="F127" s="23" t="s">
        <v>2449</v>
      </c>
      <c r="G127" s="23" t="s">
        <v>3029</v>
      </c>
      <c r="H127" s="23" t="s">
        <v>3037</v>
      </c>
      <c r="I127" s="23" t="s">
        <v>2433</v>
      </c>
      <c r="J127" s="23" t="s">
        <v>3038</v>
      </c>
      <c r="K127" s="23" t="s">
        <v>2342</v>
      </c>
      <c r="L127" s="23" t="s">
        <v>2759</v>
      </c>
      <c r="M127" s="23" t="s">
        <v>227</v>
      </c>
      <c r="N127" s="23" t="s">
        <v>228</v>
      </c>
      <c r="O127" s="23" t="s">
        <v>229</v>
      </c>
      <c r="P127" s="23" t="s">
        <v>1830</v>
      </c>
      <c r="Q127" s="23" t="s">
        <v>3032</v>
      </c>
      <c r="R127" s="23" t="s">
        <v>2445</v>
      </c>
      <c r="S127" s="23" t="s">
        <v>2369</v>
      </c>
      <c r="T127" s="23" t="s">
        <v>3034</v>
      </c>
    </row>
    <row r="128" spans="1:20" ht="93" customHeight="1" x14ac:dyDescent="0.3">
      <c r="A128" s="25" t="s">
        <v>3039</v>
      </c>
      <c r="B128" s="23" t="s">
        <v>3040</v>
      </c>
      <c r="C128" s="23" t="s">
        <v>3028</v>
      </c>
      <c r="D128" s="23" t="s">
        <v>2361</v>
      </c>
      <c r="E128" s="23" t="s">
        <v>142</v>
      </c>
      <c r="F128" s="23" t="s">
        <v>236</v>
      </c>
      <c r="G128" s="23" t="s">
        <v>3041</v>
      </c>
      <c r="H128" s="23" t="s">
        <v>3042</v>
      </c>
      <c r="I128" s="23" t="s">
        <v>2843</v>
      </c>
      <c r="J128" s="23" t="s">
        <v>3043</v>
      </c>
      <c r="K128" s="23" t="s">
        <v>2342</v>
      </c>
      <c r="L128" s="23" t="s">
        <v>2366</v>
      </c>
      <c r="M128" s="23" t="s">
        <v>227</v>
      </c>
      <c r="N128" s="23" t="s">
        <v>228</v>
      </c>
      <c r="O128" s="23" t="s">
        <v>229</v>
      </c>
      <c r="P128" s="23" t="s">
        <v>1909</v>
      </c>
      <c r="Q128" s="23" t="s">
        <v>3044</v>
      </c>
      <c r="R128" s="23" t="s">
        <v>3045</v>
      </c>
      <c r="S128" s="23" t="s">
        <v>2369</v>
      </c>
      <c r="T128" s="23" t="s">
        <v>3034</v>
      </c>
    </row>
    <row r="129" spans="1:20" ht="105.75" customHeight="1" x14ac:dyDescent="0.3">
      <c r="A129" s="25" t="s">
        <v>3046</v>
      </c>
      <c r="B129" s="23" t="s">
        <v>3047</v>
      </c>
      <c r="C129" s="23" t="s">
        <v>3028</v>
      </c>
      <c r="D129" s="23" t="s">
        <v>2361</v>
      </c>
      <c r="E129" s="23" t="s">
        <v>147</v>
      </c>
      <c r="F129" s="23" t="s">
        <v>236</v>
      </c>
      <c r="G129" s="23" t="s">
        <v>3048</v>
      </c>
      <c r="H129" s="23" t="s">
        <v>3049</v>
      </c>
      <c r="I129" s="23" t="s">
        <v>3050</v>
      </c>
      <c r="J129" s="23" t="s">
        <v>3051</v>
      </c>
      <c r="K129" s="23" t="s">
        <v>2342</v>
      </c>
      <c r="L129" s="23" t="s">
        <v>3052</v>
      </c>
      <c r="M129" s="23" t="s">
        <v>227</v>
      </c>
      <c r="N129" s="23" t="s">
        <v>228</v>
      </c>
      <c r="O129" s="23" t="s">
        <v>229</v>
      </c>
      <c r="P129" s="23" t="s">
        <v>1909</v>
      </c>
      <c r="Q129" s="23" t="s">
        <v>3053</v>
      </c>
      <c r="R129" s="23" t="s">
        <v>3054</v>
      </c>
      <c r="S129" s="23" t="s">
        <v>2369</v>
      </c>
      <c r="T129" s="23" t="s">
        <v>3034</v>
      </c>
    </row>
    <row r="130" spans="1:20" ht="93" customHeight="1" x14ac:dyDescent="0.3">
      <c r="A130" s="25" t="s">
        <v>3055</v>
      </c>
      <c r="B130" s="23" t="s">
        <v>3056</v>
      </c>
      <c r="C130" s="23" t="s">
        <v>3028</v>
      </c>
      <c r="D130" s="23" t="s">
        <v>2361</v>
      </c>
      <c r="E130" s="23" t="s">
        <v>142</v>
      </c>
      <c r="F130" s="23" t="s">
        <v>236</v>
      </c>
      <c r="G130" s="23" t="s">
        <v>3029</v>
      </c>
      <c r="H130" s="23" t="s">
        <v>3057</v>
      </c>
      <c r="I130" s="23" t="s">
        <v>3058</v>
      </c>
      <c r="J130" s="23" t="s">
        <v>3059</v>
      </c>
      <c r="K130" s="23" t="s">
        <v>2342</v>
      </c>
      <c r="L130" s="23" t="s">
        <v>3060</v>
      </c>
      <c r="M130" s="23" t="s">
        <v>227</v>
      </c>
      <c r="N130" s="23" t="s">
        <v>228</v>
      </c>
      <c r="O130" s="23" t="s">
        <v>229</v>
      </c>
      <c r="P130" s="23" t="s">
        <v>3061</v>
      </c>
      <c r="Q130" s="23" t="s">
        <v>3062</v>
      </c>
      <c r="R130" s="23" t="s">
        <v>3063</v>
      </c>
      <c r="S130" s="23" t="s">
        <v>2369</v>
      </c>
      <c r="T130" s="23" t="s">
        <v>3034</v>
      </c>
    </row>
    <row r="131" spans="1:20" ht="93" customHeight="1" x14ac:dyDescent="0.3">
      <c r="A131" s="25" t="s">
        <v>3064</v>
      </c>
      <c r="B131" s="23" t="s">
        <v>3065</v>
      </c>
      <c r="C131" s="23" t="s">
        <v>3028</v>
      </c>
      <c r="D131" s="23" t="s">
        <v>2361</v>
      </c>
      <c r="E131" s="23" t="s">
        <v>142</v>
      </c>
      <c r="F131" s="23" t="s">
        <v>464</v>
      </c>
      <c r="G131" s="23" t="s">
        <v>3066</v>
      </c>
      <c r="H131" s="23" t="s">
        <v>3067</v>
      </c>
      <c r="I131" s="23" t="s">
        <v>2560</v>
      </c>
      <c r="J131" s="23" t="s">
        <v>3068</v>
      </c>
      <c r="K131" s="23" t="s">
        <v>2342</v>
      </c>
      <c r="L131" s="23" t="s">
        <v>2470</v>
      </c>
      <c r="M131" s="23" t="s">
        <v>227</v>
      </c>
      <c r="N131" s="23" t="s">
        <v>228</v>
      </c>
      <c r="O131" s="23" t="s">
        <v>229</v>
      </c>
      <c r="P131" s="23" t="s">
        <v>1929</v>
      </c>
      <c r="Q131" s="23" t="s">
        <v>3069</v>
      </c>
      <c r="R131" s="23" t="s">
        <v>3070</v>
      </c>
      <c r="S131" s="23" t="s">
        <v>2369</v>
      </c>
      <c r="T131" s="23" t="s">
        <v>3034</v>
      </c>
    </row>
    <row r="132" spans="1:20" ht="78.75" customHeight="1" x14ac:dyDescent="0.3">
      <c r="A132" s="25" t="s">
        <v>3071</v>
      </c>
      <c r="B132" s="23" t="s">
        <v>3072</v>
      </c>
      <c r="C132" s="23" t="s">
        <v>3028</v>
      </c>
      <c r="D132" s="23" t="s">
        <v>2361</v>
      </c>
      <c r="E132" s="23" t="s">
        <v>142</v>
      </c>
      <c r="F132" s="23" t="s">
        <v>464</v>
      </c>
      <c r="G132" s="23" t="s">
        <v>3029</v>
      </c>
      <c r="H132" s="23" t="s">
        <v>3073</v>
      </c>
      <c r="I132" s="23" t="s">
        <v>2468</v>
      </c>
      <c r="J132" s="23" t="s">
        <v>3074</v>
      </c>
      <c r="K132" s="23" t="s">
        <v>2342</v>
      </c>
      <c r="L132" s="23" t="s">
        <v>2470</v>
      </c>
      <c r="M132" s="23" t="s">
        <v>227</v>
      </c>
      <c r="N132" s="23" t="s">
        <v>228</v>
      </c>
      <c r="O132" s="23" t="s">
        <v>229</v>
      </c>
      <c r="P132" s="23" t="s">
        <v>1909</v>
      </c>
      <c r="Q132" s="23" t="s">
        <v>3075</v>
      </c>
      <c r="R132" s="23" t="s">
        <v>2479</v>
      </c>
      <c r="S132" s="23" t="s">
        <v>2369</v>
      </c>
      <c r="T132" s="23" t="s">
        <v>3034</v>
      </c>
    </row>
    <row r="133" spans="1:20" ht="105.75" customHeight="1" x14ac:dyDescent="0.3">
      <c r="A133" s="25" t="s">
        <v>3076</v>
      </c>
      <c r="B133" s="23" t="s">
        <v>3077</v>
      </c>
      <c r="C133" s="23" t="s">
        <v>3028</v>
      </c>
      <c r="D133" s="23" t="s">
        <v>2361</v>
      </c>
      <c r="E133" s="23" t="s">
        <v>147</v>
      </c>
      <c r="F133" s="23" t="s">
        <v>672</v>
      </c>
      <c r="G133" s="23" t="s">
        <v>3029</v>
      </c>
      <c r="H133" s="23" t="s">
        <v>3078</v>
      </c>
      <c r="I133" s="23" t="s">
        <v>3079</v>
      </c>
      <c r="J133" s="23" t="s">
        <v>3080</v>
      </c>
      <c r="K133" s="23" t="s">
        <v>2342</v>
      </c>
      <c r="L133" s="23" t="s">
        <v>2477</v>
      </c>
      <c r="M133" s="23" t="s">
        <v>227</v>
      </c>
      <c r="N133" s="23" t="s">
        <v>228</v>
      </c>
      <c r="O133" s="23" t="s">
        <v>229</v>
      </c>
      <c r="P133" s="23" t="s">
        <v>672</v>
      </c>
      <c r="Q133" s="23" t="s">
        <v>3081</v>
      </c>
      <c r="R133" s="23" t="s">
        <v>3082</v>
      </c>
      <c r="S133" s="23" t="s">
        <v>2369</v>
      </c>
      <c r="T133" s="23" t="s">
        <v>3034</v>
      </c>
    </row>
    <row r="134" spans="1:20" ht="133.5" customHeight="1" x14ac:dyDescent="0.3">
      <c r="A134" s="25" t="s">
        <v>3083</v>
      </c>
      <c r="B134" s="23" t="s">
        <v>3084</v>
      </c>
      <c r="C134" s="23" t="s">
        <v>3028</v>
      </c>
      <c r="D134" s="23" t="s">
        <v>2361</v>
      </c>
      <c r="E134" s="23" t="s">
        <v>147</v>
      </c>
      <c r="F134" s="23" t="s">
        <v>236</v>
      </c>
      <c r="G134" s="23" t="s">
        <v>3029</v>
      </c>
      <c r="H134" s="23" t="s">
        <v>3085</v>
      </c>
      <c r="I134" s="23" t="s">
        <v>3086</v>
      </c>
      <c r="J134" s="23" t="s">
        <v>3087</v>
      </c>
      <c r="K134" s="23" t="s">
        <v>2342</v>
      </c>
      <c r="L134" s="23" t="s">
        <v>2366</v>
      </c>
      <c r="M134" s="23" t="s">
        <v>227</v>
      </c>
      <c r="N134" s="23" t="s">
        <v>228</v>
      </c>
      <c r="O134" s="23" t="s">
        <v>229</v>
      </c>
      <c r="P134" s="23" t="s">
        <v>1929</v>
      </c>
      <c r="Q134" s="23" t="s">
        <v>3088</v>
      </c>
      <c r="R134" s="23" t="s">
        <v>3089</v>
      </c>
      <c r="S134" s="23" t="s">
        <v>2369</v>
      </c>
      <c r="T134" s="23" t="s">
        <v>3034</v>
      </c>
    </row>
    <row r="135" spans="1:20" ht="93" customHeight="1" x14ac:dyDescent="0.3">
      <c r="A135" s="25" t="s">
        <v>3090</v>
      </c>
      <c r="B135" s="23" t="s">
        <v>3091</v>
      </c>
      <c r="C135" s="23" t="s">
        <v>3028</v>
      </c>
      <c r="D135" s="23" t="s">
        <v>2361</v>
      </c>
      <c r="E135" s="23" t="s">
        <v>142</v>
      </c>
      <c r="F135" s="23" t="s">
        <v>464</v>
      </c>
      <c r="G135" s="23" t="s">
        <v>3029</v>
      </c>
      <c r="H135" s="23" t="s">
        <v>3092</v>
      </c>
      <c r="I135" s="23" t="s">
        <v>2578</v>
      </c>
      <c r="J135" s="23" t="s">
        <v>3093</v>
      </c>
      <c r="K135" s="23" t="s">
        <v>2342</v>
      </c>
      <c r="L135" s="23" t="s">
        <v>2470</v>
      </c>
      <c r="M135" s="23" t="s">
        <v>227</v>
      </c>
      <c r="N135" s="23" t="s">
        <v>228</v>
      </c>
      <c r="O135" s="23" t="s">
        <v>229</v>
      </c>
      <c r="P135" s="23" t="s">
        <v>1909</v>
      </c>
      <c r="Q135" s="23" t="s">
        <v>3094</v>
      </c>
      <c r="R135" s="23" t="s">
        <v>2581</v>
      </c>
      <c r="S135" s="23" t="s">
        <v>2369</v>
      </c>
      <c r="T135" s="23" t="s">
        <v>3034</v>
      </c>
    </row>
    <row r="136" spans="1:20" ht="120" customHeight="1" x14ac:dyDescent="0.3">
      <c r="A136" s="25" t="s">
        <v>3095</v>
      </c>
      <c r="B136" s="23" t="s">
        <v>3096</v>
      </c>
      <c r="C136" s="23" t="s">
        <v>3028</v>
      </c>
      <c r="D136" s="23" t="s">
        <v>2361</v>
      </c>
      <c r="E136" s="23" t="s">
        <v>147</v>
      </c>
      <c r="F136" s="23" t="s">
        <v>236</v>
      </c>
      <c r="G136" s="23" t="s">
        <v>3029</v>
      </c>
      <c r="H136" s="23" t="s">
        <v>3097</v>
      </c>
      <c r="I136" s="23" t="s">
        <v>2433</v>
      </c>
      <c r="J136" s="23" t="s">
        <v>3098</v>
      </c>
      <c r="K136" s="23" t="s">
        <v>2342</v>
      </c>
      <c r="L136" s="23" t="s">
        <v>3099</v>
      </c>
      <c r="M136" s="23" t="s">
        <v>227</v>
      </c>
      <c r="N136" s="23" t="s">
        <v>228</v>
      </c>
      <c r="O136" s="23" t="s">
        <v>229</v>
      </c>
      <c r="P136" s="23" t="s">
        <v>1909</v>
      </c>
      <c r="Q136" s="23" t="s">
        <v>3100</v>
      </c>
      <c r="R136" s="23" t="s">
        <v>2445</v>
      </c>
      <c r="S136" s="23" t="s">
        <v>2369</v>
      </c>
      <c r="T136" s="23" t="s">
        <v>3034</v>
      </c>
    </row>
    <row r="137" spans="1:20" ht="105.75" customHeight="1" x14ac:dyDescent="0.3">
      <c r="A137" s="25" t="s">
        <v>3101</v>
      </c>
      <c r="B137" s="23" t="s">
        <v>3102</v>
      </c>
      <c r="C137" s="23" t="s">
        <v>3028</v>
      </c>
      <c r="D137" s="23" t="s">
        <v>2361</v>
      </c>
      <c r="E137" s="23" t="s">
        <v>147</v>
      </c>
      <c r="F137" s="23" t="s">
        <v>464</v>
      </c>
      <c r="G137" s="23" t="s">
        <v>3029</v>
      </c>
      <c r="H137" s="23" t="s">
        <v>3103</v>
      </c>
      <c r="I137" s="23" t="s">
        <v>2578</v>
      </c>
      <c r="J137" s="23" t="s">
        <v>3104</v>
      </c>
      <c r="K137" s="23" t="s">
        <v>2342</v>
      </c>
      <c r="L137" s="23" t="s">
        <v>2470</v>
      </c>
      <c r="M137" s="23" t="s">
        <v>227</v>
      </c>
      <c r="N137" s="23" t="s">
        <v>228</v>
      </c>
      <c r="O137" s="23" t="s">
        <v>229</v>
      </c>
      <c r="P137" s="23" t="s">
        <v>2791</v>
      </c>
      <c r="Q137" s="23" t="s">
        <v>3105</v>
      </c>
      <c r="R137" s="23" t="s">
        <v>2581</v>
      </c>
      <c r="S137" s="23" t="s">
        <v>2369</v>
      </c>
      <c r="T137" s="23" t="s">
        <v>3034</v>
      </c>
    </row>
    <row r="138" spans="1:20" ht="78.75" customHeight="1" x14ac:dyDescent="0.3">
      <c r="A138" s="25" t="s">
        <v>3106</v>
      </c>
      <c r="B138" s="23" t="s">
        <v>3107</v>
      </c>
      <c r="C138" s="23" t="s">
        <v>3028</v>
      </c>
      <c r="D138" s="23" t="s">
        <v>2361</v>
      </c>
      <c r="E138" s="23" t="s">
        <v>142</v>
      </c>
      <c r="F138" s="23" t="s">
        <v>672</v>
      </c>
      <c r="G138" s="23" t="s">
        <v>3029</v>
      </c>
      <c r="H138" s="23" t="s">
        <v>3108</v>
      </c>
      <c r="I138" s="23" t="s">
        <v>3109</v>
      </c>
      <c r="J138" s="23" t="s">
        <v>3110</v>
      </c>
      <c r="K138" s="23" t="s">
        <v>2342</v>
      </c>
      <c r="L138" s="23" t="s">
        <v>2477</v>
      </c>
      <c r="M138" s="23" t="s">
        <v>227</v>
      </c>
      <c r="N138" s="23" t="s">
        <v>228</v>
      </c>
      <c r="O138" s="23" t="s">
        <v>229</v>
      </c>
      <c r="P138" s="23" t="s">
        <v>672</v>
      </c>
      <c r="Q138" s="23" t="s">
        <v>3111</v>
      </c>
      <c r="R138" s="23" t="s">
        <v>3112</v>
      </c>
      <c r="S138" s="23" t="s">
        <v>2369</v>
      </c>
      <c r="T138" s="23" t="s">
        <v>3034</v>
      </c>
    </row>
    <row r="139" spans="1:20" ht="78.75" customHeight="1" x14ac:dyDescent="0.3">
      <c r="A139" s="25" t="s">
        <v>3113</v>
      </c>
      <c r="B139" s="23" t="s">
        <v>3114</v>
      </c>
      <c r="C139" s="23" t="s">
        <v>3028</v>
      </c>
      <c r="D139" s="23" t="s">
        <v>2361</v>
      </c>
      <c r="E139" s="23" t="s">
        <v>142</v>
      </c>
      <c r="F139" s="23" t="s">
        <v>672</v>
      </c>
      <c r="G139" s="23" t="s">
        <v>3029</v>
      </c>
      <c r="H139" s="23" t="s">
        <v>3115</v>
      </c>
      <c r="I139" s="23" t="s">
        <v>2433</v>
      </c>
      <c r="J139" s="23" t="s">
        <v>3116</v>
      </c>
      <c r="K139" s="23" t="s">
        <v>2342</v>
      </c>
      <c r="L139" s="23" t="s">
        <v>3117</v>
      </c>
      <c r="M139" s="23" t="s">
        <v>227</v>
      </c>
      <c r="N139" s="23" t="s">
        <v>228</v>
      </c>
      <c r="O139" s="23" t="s">
        <v>229</v>
      </c>
      <c r="P139" s="23" t="s">
        <v>3118</v>
      </c>
      <c r="Q139" s="23" t="s">
        <v>3119</v>
      </c>
      <c r="R139" s="23" t="s">
        <v>3120</v>
      </c>
      <c r="S139" s="23" t="s">
        <v>2369</v>
      </c>
      <c r="T139" s="23" t="s">
        <v>3034</v>
      </c>
    </row>
    <row r="140" spans="1:20" ht="93" customHeight="1" x14ac:dyDescent="0.3">
      <c r="A140" s="25" t="s">
        <v>3121</v>
      </c>
      <c r="B140" s="23" t="s">
        <v>3122</v>
      </c>
      <c r="C140" s="23" t="s">
        <v>3028</v>
      </c>
      <c r="D140" s="23" t="s">
        <v>2361</v>
      </c>
      <c r="E140" s="23" t="s">
        <v>155</v>
      </c>
      <c r="F140" s="23" t="s">
        <v>672</v>
      </c>
      <c r="G140" s="23" t="s">
        <v>3029</v>
      </c>
      <c r="H140" s="23" t="s">
        <v>3123</v>
      </c>
      <c r="I140" s="23" t="s">
        <v>2433</v>
      </c>
      <c r="J140" s="23" t="s">
        <v>3124</v>
      </c>
      <c r="K140" s="23" t="s">
        <v>2342</v>
      </c>
      <c r="L140" s="23" t="s">
        <v>2495</v>
      </c>
      <c r="M140" s="23" t="s">
        <v>227</v>
      </c>
      <c r="N140" s="23" t="s">
        <v>251</v>
      </c>
      <c r="O140" s="23" t="s">
        <v>252</v>
      </c>
      <c r="P140" s="23" t="s">
        <v>1929</v>
      </c>
      <c r="Q140" s="23" t="s">
        <v>3125</v>
      </c>
      <c r="R140" s="23" t="s">
        <v>3126</v>
      </c>
      <c r="S140" s="23" t="s">
        <v>2369</v>
      </c>
      <c r="T140" s="23" t="s">
        <v>3034</v>
      </c>
    </row>
    <row r="141" spans="1:20" ht="78.75" customHeight="1" x14ac:dyDescent="0.3">
      <c r="A141" s="25" t="s">
        <v>3127</v>
      </c>
      <c r="B141" s="23" t="s">
        <v>3128</v>
      </c>
      <c r="C141" s="23" t="s">
        <v>3028</v>
      </c>
      <c r="D141" s="23" t="s">
        <v>2361</v>
      </c>
      <c r="E141" s="23" t="s">
        <v>147</v>
      </c>
      <c r="F141" s="23" t="s">
        <v>236</v>
      </c>
      <c r="G141" s="23" t="s">
        <v>3029</v>
      </c>
      <c r="H141" s="23" t="s">
        <v>3129</v>
      </c>
      <c r="I141" s="23" t="s">
        <v>2433</v>
      </c>
      <c r="J141" s="23" t="s">
        <v>3130</v>
      </c>
      <c r="K141" s="23" t="s">
        <v>2342</v>
      </c>
      <c r="L141" s="23" t="s">
        <v>2366</v>
      </c>
      <c r="M141" s="23" t="s">
        <v>227</v>
      </c>
      <c r="N141" s="23" t="s">
        <v>228</v>
      </c>
      <c r="O141" s="23" t="s">
        <v>229</v>
      </c>
      <c r="P141" s="23" t="s">
        <v>1909</v>
      </c>
      <c r="Q141" s="23" t="s">
        <v>3131</v>
      </c>
      <c r="R141" s="23" t="s">
        <v>2445</v>
      </c>
      <c r="S141" s="23" t="s">
        <v>2369</v>
      </c>
      <c r="T141" s="23" t="s">
        <v>3034</v>
      </c>
    </row>
    <row r="142" spans="1:20" ht="93" customHeight="1" x14ac:dyDescent="0.3">
      <c r="A142" s="25" t="s">
        <v>3132</v>
      </c>
      <c r="B142" s="23" t="s">
        <v>3133</v>
      </c>
      <c r="C142" s="23" t="s">
        <v>3028</v>
      </c>
      <c r="D142" s="23" t="s">
        <v>2361</v>
      </c>
      <c r="E142" s="23" t="s">
        <v>155</v>
      </c>
      <c r="F142" s="23" t="s">
        <v>236</v>
      </c>
      <c r="G142" s="23" t="s">
        <v>3029</v>
      </c>
      <c r="H142" s="23" t="s">
        <v>3134</v>
      </c>
      <c r="I142" s="23" t="s">
        <v>2433</v>
      </c>
      <c r="J142" s="23" t="s">
        <v>3135</v>
      </c>
      <c r="K142" s="23" t="s">
        <v>2342</v>
      </c>
      <c r="L142" s="23" t="s">
        <v>2495</v>
      </c>
      <c r="M142" s="23" t="s">
        <v>227</v>
      </c>
      <c r="N142" s="23" t="s">
        <v>251</v>
      </c>
      <c r="O142" s="23" t="s">
        <v>252</v>
      </c>
      <c r="P142" s="23" t="s">
        <v>1909</v>
      </c>
      <c r="Q142" s="23" t="s">
        <v>2996</v>
      </c>
      <c r="R142" s="23" t="s">
        <v>2445</v>
      </c>
      <c r="S142" s="23" t="s">
        <v>2369</v>
      </c>
      <c r="T142" s="23" t="s">
        <v>3034</v>
      </c>
    </row>
    <row r="143" spans="1:20" ht="133.5" customHeight="1" x14ac:dyDescent="0.3">
      <c r="A143" s="25" t="s">
        <v>3136</v>
      </c>
      <c r="B143" s="23" t="s">
        <v>3137</v>
      </c>
      <c r="C143" s="23" t="s">
        <v>3028</v>
      </c>
      <c r="D143" s="23" t="s">
        <v>2361</v>
      </c>
      <c r="E143" s="23" t="s">
        <v>142</v>
      </c>
      <c r="F143" s="23" t="s">
        <v>672</v>
      </c>
      <c r="G143" s="23" t="s">
        <v>3029</v>
      </c>
      <c r="H143" s="23" t="s">
        <v>3138</v>
      </c>
      <c r="I143" s="23" t="s">
        <v>3139</v>
      </c>
      <c r="J143" s="23" t="s">
        <v>3140</v>
      </c>
      <c r="K143" s="23" t="s">
        <v>2342</v>
      </c>
      <c r="L143" s="23" t="s">
        <v>2477</v>
      </c>
      <c r="M143" s="23" t="s">
        <v>227</v>
      </c>
      <c r="N143" s="23" t="s">
        <v>228</v>
      </c>
      <c r="O143" s="23" t="s">
        <v>229</v>
      </c>
      <c r="P143" s="23" t="s">
        <v>672</v>
      </c>
      <c r="Q143" s="23" t="s">
        <v>3141</v>
      </c>
      <c r="R143" s="23" t="s">
        <v>3142</v>
      </c>
      <c r="S143" s="23" t="s">
        <v>2369</v>
      </c>
      <c r="T143" s="23" t="s">
        <v>3034</v>
      </c>
    </row>
    <row r="144" spans="1:20" ht="78.75" customHeight="1" x14ac:dyDescent="0.3">
      <c r="A144" s="25" t="s">
        <v>3143</v>
      </c>
      <c r="B144" s="23" t="s">
        <v>3144</v>
      </c>
      <c r="C144" s="23" t="s">
        <v>3028</v>
      </c>
      <c r="D144" s="23" t="s">
        <v>2361</v>
      </c>
      <c r="E144" s="23" t="s">
        <v>142</v>
      </c>
      <c r="F144" s="23" t="s">
        <v>672</v>
      </c>
      <c r="G144" s="23" t="s">
        <v>3145</v>
      </c>
      <c r="H144" s="23" t="s">
        <v>3146</v>
      </c>
      <c r="I144" s="23" t="s">
        <v>2578</v>
      </c>
      <c r="J144" s="23" t="s">
        <v>3147</v>
      </c>
      <c r="K144" s="23" t="s">
        <v>2342</v>
      </c>
      <c r="L144" s="23" t="s">
        <v>2477</v>
      </c>
      <c r="M144" s="23" t="s">
        <v>227</v>
      </c>
      <c r="N144" s="23" t="s">
        <v>228</v>
      </c>
      <c r="O144" s="23" t="s">
        <v>229</v>
      </c>
      <c r="P144" s="23" t="s">
        <v>672</v>
      </c>
      <c r="Q144" s="23" t="s">
        <v>3148</v>
      </c>
      <c r="R144" s="23" t="s">
        <v>3149</v>
      </c>
      <c r="S144" s="23" t="s">
        <v>2369</v>
      </c>
      <c r="T144" s="23" t="s">
        <v>3034</v>
      </c>
    </row>
    <row r="145" spans="1:20" ht="78.75" customHeight="1" x14ac:dyDescent="0.3">
      <c r="A145" s="25" t="s">
        <v>3150</v>
      </c>
      <c r="B145" s="23" t="s">
        <v>3151</v>
      </c>
      <c r="C145" s="23" t="s">
        <v>3028</v>
      </c>
      <c r="D145" s="23" t="s">
        <v>2361</v>
      </c>
      <c r="E145" s="23" t="s">
        <v>147</v>
      </c>
      <c r="F145" s="23" t="s">
        <v>672</v>
      </c>
      <c r="G145" s="23" t="s">
        <v>3152</v>
      </c>
      <c r="H145" s="23" t="s">
        <v>3153</v>
      </c>
      <c r="I145" s="23" t="s">
        <v>2578</v>
      </c>
      <c r="J145" s="23" t="s">
        <v>3154</v>
      </c>
      <c r="K145" s="23" t="s">
        <v>2342</v>
      </c>
      <c r="L145" s="23" t="s">
        <v>2477</v>
      </c>
      <c r="M145" s="23" t="s">
        <v>227</v>
      </c>
      <c r="N145" s="23" t="s">
        <v>228</v>
      </c>
      <c r="O145" s="23" t="s">
        <v>229</v>
      </c>
      <c r="P145" s="23" t="s">
        <v>672</v>
      </c>
      <c r="Q145" s="23" t="s">
        <v>3155</v>
      </c>
      <c r="R145" s="23" t="s">
        <v>3156</v>
      </c>
      <c r="S145" s="23" t="s">
        <v>2369</v>
      </c>
      <c r="T145" s="23" t="s">
        <v>3034</v>
      </c>
    </row>
    <row r="146" spans="1:20" ht="133.5" customHeight="1" x14ac:dyDescent="0.3">
      <c r="A146" s="25" t="s">
        <v>3157</v>
      </c>
      <c r="B146" s="23" t="s">
        <v>3158</v>
      </c>
      <c r="C146" s="23" t="s">
        <v>3028</v>
      </c>
      <c r="D146" s="23" t="s">
        <v>2361</v>
      </c>
      <c r="E146" s="23" t="s">
        <v>142</v>
      </c>
      <c r="F146" s="23" t="s">
        <v>672</v>
      </c>
      <c r="G146" s="23" t="s">
        <v>3159</v>
      </c>
      <c r="H146" s="23" t="s">
        <v>3160</v>
      </c>
      <c r="I146" s="23" t="s">
        <v>3161</v>
      </c>
      <c r="J146" s="23" t="s">
        <v>3162</v>
      </c>
      <c r="K146" s="23" t="s">
        <v>2342</v>
      </c>
      <c r="L146" s="23" t="s">
        <v>2477</v>
      </c>
      <c r="M146" s="23" t="s">
        <v>227</v>
      </c>
      <c r="N146" s="23" t="s">
        <v>228</v>
      </c>
      <c r="O146" s="23" t="s">
        <v>229</v>
      </c>
      <c r="P146" s="23" t="s">
        <v>672</v>
      </c>
      <c r="Q146" s="23" t="s">
        <v>3163</v>
      </c>
      <c r="R146" s="23" t="s">
        <v>3164</v>
      </c>
      <c r="S146" s="23" t="s">
        <v>2369</v>
      </c>
      <c r="T146" s="23" t="s">
        <v>3034</v>
      </c>
    </row>
    <row r="147" spans="1:20" ht="93" customHeight="1" x14ac:dyDescent="0.3">
      <c r="A147" s="25" t="s">
        <v>3165</v>
      </c>
      <c r="B147" s="23" t="s">
        <v>3166</v>
      </c>
      <c r="C147" s="23" t="s">
        <v>3028</v>
      </c>
      <c r="D147" s="23" t="s">
        <v>2361</v>
      </c>
      <c r="E147" s="23" t="s">
        <v>147</v>
      </c>
      <c r="F147" s="23" t="s">
        <v>672</v>
      </c>
      <c r="G147" s="23" t="s">
        <v>3167</v>
      </c>
      <c r="H147" s="23" t="s">
        <v>3168</v>
      </c>
      <c r="I147" s="23" t="s">
        <v>2578</v>
      </c>
      <c r="J147" s="23" t="s">
        <v>3169</v>
      </c>
      <c r="K147" s="23" t="s">
        <v>2342</v>
      </c>
      <c r="L147" s="23" t="s">
        <v>2477</v>
      </c>
      <c r="M147" s="23" t="s">
        <v>227</v>
      </c>
      <c r="N147" s="23" t="s">
        <v>228</v>
      </c>
      <c r="O147" s="23" t="s">
        <v>229</v>
      </c>
      <c r="P147" s="23" t="s">
        <v>2496</v>
      </c>
      <c r="Q147" s="23" t="s">
        <v>3170</v>
      </c>
      <c r="R147" s="23" t="s">
        <v>3171</v>
      </c>
      <c r="S147" s="23" t="s">
        <v>2369</v>
      </c>
      <c r="T147" s="23" t="s">
        <v>3034</v>
      </c>
    </row>
    <row r="148" spans="1:20" ht="93" customHeight="1" x14ac:dyDescent="0.3">
      <c r="A148" s="25" t="s">
        <v>3172</v>
      </c>
      <c r="B148" s="23" t="s">
        <v>3173</v>
      </c>
      <c r="C148" s="23" t="s">
        <v>3028</v>
      </c>
      <c r="D148" s="23" t="s">
        <v>2361</v>
      </c>
      <c r="E148" s="23" t="s">
        <v>147</v>
      </c>
      <c r="F148" s="23" t="s">
        <v>464</v>
      </c>
      <c r="G148" s="23" t="s">
        <v>3174</v>
      </c>
      <c r="H148" s="23" t="s">
        <v>3175</v>
      </c>
      <c r="I148" s="23" t="s">
        <v>2578</v>
      </c>
      <c r="J148" s="23" t="s">
        <v>3176</v>
      </c>
      <c r="K148" s="23" t="s">
        <v>2342</v>
      </c>
      <c r="L148" s="23" t="s">
        <v>2470</v>
      </c>
      <c r="M148" s="23" t="s">
        <v>227</v>
      </c>
      <c r="N148" s="23" t="s">
        <v>228</v>
      </c>
      <c r="O148" s="23" t="s">
        <v>229</v>
      </c>
      <c r="P148" s="23" t="s">
        <v>1909</v>
      </c>
      <c r="Q148" s="23" t="s">
        <v>3177</v>
      </c>
      <c r="R148" s="23" t="s">
        <v>2581</v>
      </c>
      <c r="S148" s="23" t="s">
        <v>2369</v>
      </c>
      <c r="T148" s="23" t="s">
        <v>3034</v>
      </c>
    </row>
    <row r="149" spans="1:20" ht="93" customHeight="1" x14ac:dyDescent="0.3">
      <c r="A149" s="25" t="s">
        <v>3178</v>
      </c>
      <c r="B149" s="23" t="s">
        <v>3179</v>
      </c>
      <c r="C149" s="23" t="s">
        <v>3028</v>
      </c>
      <c r="D149" s="23" t="s">
        <v>2361</v>
      </c>
      <c r="E149" s="23" t="s">
        <v>142</v>
      </c>
      <c r="F149" s="23" t="s">
        <v>464</v>
      </c>
      <c r="G149" s="23" t="s">
        <v>3029</v>
      </c>
      <c r="H149" s="23" t="s">
        <v>3180</v>
      </c>
      <c r="I149" s="23" t="s">
        <v>2468</v>
      </c>
      <c r="J149" s="23" t="s">
        <v>3181</v>
      </c>
      <c r="K149" s="23" t="s">
        <v>2342</v>
      </c>
      <c r="L149" s="23" t="s">
        <v>2470</v>
      </c>
      <c r="M149" s="23" t="s">
        <v>227</v>
      </c>
      <c r="N149" s="23" t="s">
        <v>228</v>
      </c>
      <c r="O149" s="23" t="s">
        <v>229</v>
      </c>
      <c r="P149" s="23" t="s">
        <v>1909</v>
      </c>
      <c r="Q149" s="23" t="s">
        <v>3182</v>
      </c>
      <c r="R149" s="23" t="s">
        <v>2479</v>
      </c>
      <c r="S149" s="23" t="s">
        <v>2369</v>
      </c>
      <c r="T149" s="23" t="s">
        <v>3034</v>
      </c>
    </row>
    <row r="150" spans="1:20" ht="78.75" customHeight="1" x14ac:dyDescent="0.3">
      <c r="A150" s="25" t="s">
        <v>3183</v>
      </c>
      <c r="B150" s="23" t="s">
        <v>3184</v>
      </c>
      <c r="C150" s="23" t="s">
        <v>3028</v>
      </c>
      <c r="D150" s="23" t="s">
        <v>2361</v>
      </c>
      <c r="E150" s="23" t="s">
        <v>147</v>
      </c>
      <c r="F150" s="23" t="s">
        <v>464</v>
      </c>
      <c r="G150" s="23" t="s">
        <v>3029</v>
      </c>
      <c r="H150" s="23" t="s">
        <v>3185</v>
      </c>
      <c r="I150" s="23" t="s">
        <v>2468</v>
      </c>
      <c r="J150" s="23" t="s">
        <v>3186</v>
      </c>
      <c r="K150" s="23" t="s">
        <v>2342</v>
      </c>
      <c r="L150" s="23" t="s">
        <v>2470</v>
      </c>
      <c r="M150" s="23" t="s">
        <v>227</v>
      </c>
      <c r="N150" s="23" t="s">
        <v>228</v>
      </c>
      <c r="O150" s="23" t="s">
        <v>229</v>
      </c>
      <c r="P150" s="23" t="s">
        <v>2791</v>
      </c>
      <c r="Q150" s="23" t="s">
        <v>3187</v>
      </c>
      <c r="R150" s="23" t="s">
        <v>2479</v>
      </c>
      <c r="S150" s="23" t="s">
        <v>2369</v>
      </c>
      <c r="T150" s="23" t="s">
        <v>3034</v>
      </c>
    </row>
    <row r="151" spans="1:20" ht="78.75" customHeight="1" x14ac:dyDescent="0.3">
      <c r="A151" s="25" t="s">
        <v>3188</v>
      </c>
      <c r="B151" s="23" t="s">
        <v>3189</v>
      </c>
      <c r="C151" s="23" t="s">
        <v>3028</v>
      </c>
      <c r="D151" s="23" t="s">
        <v>2361</v>
      </c>
      <c r="E151" s="23" t="s">
        <v>155</v>
      </c>
      <c r="F151" s="23" t="s">
        <v>464</v>
      </c>
      <c r="G151" s="23" t="s">
        <v>3029</v>
      </c>
      <c r="H151" s="23" t="s">
        <v>3190</v>
      </c>
      <c r="I151" s="23" t="s">
        <v>2712</v>
      </c>
      <c r="J151" s="23" t="s">
        <v>3191</v>
      </c>
      <c r="K151" s="23" t="s">
        <v>2342</v>
      </c>
      <c r="L151" s="23" t="s">
        <v>2495</v>
      </c>
      <c r="M151" s="23" t="s">
        <v>227</v>
      </c>
      <c r="N151" s="23" t="s">
        <v>251</v>
      </c>
      <c r="O151" s="23" t="s">
        <v>252</v>
      </c>
      <c r="P151" s="23" t="s">
        <v>1909</v>
      </c>
      <c r="Q151" s="23" t="s">
        <v>3192</v>
      </c>
      <c r="R151" s="23" t="s">
        <v>2715</v>
      </c>
      <c r="S151" s="23" t="s">
        <v>2369</v>
      </c>
      <c r="T151" s="23" t="s">
        <v>3034</v>
      </c>
    </row>
    <row r="152" spans="1:20" ht="78.75" customHeight="1" x14ac:dyDescent="0.3">
      <c r="A152" s="25" t="s">
        <v>3193</v>
      </c>
      <c r="B152" s="23" t="s">
        <v>3194</v>
      </c>
      <c r="C152" s="23" t="s">
        <v>3028</v>
      </c>
      <c r="D152" s="23" t="s">
        <v>2361</v>
      </c>
      <c r="E152" s="23" t="s">
        <v>142</v>
      </c>
      <c r="F152" s="23" t="s">
        <v>2373</v>
      </c>
      <c r="G152" s="23" t="s">
        <v>3029</v>
      </c>
      <c r="H152" s="23" t="s">
        <v>3195</v>
      </c>
      <c r="I152" s="23" t="s">
        <v>2712</v>
      </c>
      <c r="J152" s="23" t="s">
        <v>3196</v>
      </c>
      <c r="K152" s="23" t="s">
        <v>2342</v>
      </c>
      <c r="L152" s="23" t="s">
        <v>2807</v>
      </c>
      <c r="M152" s="23" t="s">
        <v>227</v>
      </c>
      <c r="N152" s="23" t="s">
        <v>228</v>
      </c>
      <c r="O152" s="23" t="s">
        <v>229</v>
      </c>
      <c r="P152" s="23" t="s">
        <v>1929</v>
      </c>
      <c r="Q152" s="23" t="s">
        <v>3197</v>
      </c>
      <c r="R152" s="23" t="s">
        <v>2715</v>
      </c>
      <c r="S152" s="23" t="s">
        <v>2369</v>
      </c>
      <c r="T152" s="23" t="s">
        <v>3034</v>
      </c>
    </row>
    <row r="153" spans="1:20" ht="78.75" customHeight="1" x14ac:dyDescent="0.3">
      <c r="A153" s="25" t="s">
        <v>3198</v>
      </c>
      <c r="B153" s="23" t="s">
        <v>3199</v>
      </c>
      <c r="C153" s="23" t="s">
        <v>3028</v>
      </c>
      <c r="D153" s="23" t="s">
        <v>2361</v>
      </c>
      <c r="E153" s="23" t="s">
        <v>147</v>
      </c>
      <c r="F153" s="23" t="s">
        <v>464</v>
      </c>
      <c r="G153" s="23" t="s">
        <v>3029</v>
      </c>
      <c r="H153" s="23" t="s">
        <v>3200</v>
      </c>
      <c r="I153" s="23" t="s">
        <v>2468</v>
      </c>
      <c r="J153" s="23" t="s">
        <v>3201</v>
      </c>
      <c r="K153" s="23" t="s">
        <v>2342</v>
      </c>
      <c r="L153" s="23" t="s">
        <v>2470</v>
      </c>
      <c r="M153" s="23" t="s">
        <v>227</v>
      </c>
      <c r="N153" s="23" t="s">
        <v>228</v>
      </c>
      <c r="O153" s="23" t="s">
        <v>229</v>
      </c>
      <c r="P153" s="23" t="s">
        <v>1909</v>
      </c>
      <c r="Q153" s="23" t="s">
        <v>3202</v>
      </c>
      <c r="R153" s="23" t="s">
        <v>3203</v>
      </c>
      <c r="S153" s="23" t="s">
        <v>2369</v>
      </c>
      <c r="T153" s="23" t="s">
        <v>3034</v>
      </c>
    </row>
    <row r="154" spans="1:20" ht="78.75" customHeight="1" x14ac:dyDescent="0.3">
      <c r="A154" s="25" t="s">
        <v>3204</v>
      </c>
      <c r="B154" s="23" t="s">
        <v>3205</v>
      </c>
      <c r="C154" s="23" t="s">
        <v>3028</v>
      </c>
      <c r="D154" s="23" t="s">
        <v>2361</v>
      </c>
      <c r="E154" s="23" t="s">
        <v>256</v>
      </c>
      <c r="F154" s="23" t="s">
        <v>464</v>
      </c>
      <c r="G154" s="23" t="s">
        <v>3029</v>
      </c>
      <c r="H154" s="23" t="s">
        <v>3206</v>
      </c>
      <c r="I154" s="23" t="s">
        <v>2578</v>
      </c>
      <c r="J154" s="23" t="s">
        <v>3207</v>
      </c>
      <c r="K154" s="23" t="s">
        <v>2342</v>
      </c>
      <c r="L154" s="23" t="s">
        <v>2495</v>
      </c>
      <c r="M154" s="23" t="s">
        <v>227</v>
      </c>
      <c r="N154" s="23" t="s">
        <v>251</v>
      </c>
      <c r="O154" s="23" t="s">
        <v>252</v>
      </c>
      <c r="P154" s="23" t="s">
        <v>1928</v>
      </c>
      <c r="Q154" s="23" t="s">
        <v>3208</v>
      </c>
      <c r="R154" s="23" t="s">
        <v>2581</v>
      </c>
      <c r="S154" s="23" t="s">
        <v>2369</v>
      </c>
      <c r="T154" s="23" t="s">
        <v>2409</v>
      </c>
    </row>
    <row r="155" spans="1:20" ht="228.75" customHeight="1" x14ac:dyDescent="0.3">
      <c r="A155" s="25" t="s">
        <v>3209</v>
      </c>
      <c r="B155" s="23" t="s">
        <v>3210</v>
      </c>
      <c r="C155" s="23" t="s">
        <v>3028</v>
      </c>
      <c r="D155" s="23" t="s">
        <v>2361</v>
      </c>
      <c r="E155" s="23" t="s">
        <v>155</v>
      </c>
      <c r="F155" s="23" t="s">
        <v>236</v>
      </c>
      <c r="G155" s="23" t="s">
        <v>3211</v>
      </c>
      <c r="H155" s="23" t="s">
        <v>3212</v>
      </c>
      <c r="I155" s="23" t="s">
        <v>2364</v>
      </c>
      <c r="J155" s="23" t="s">
        <v>3213</v>
      </c>
      <c r="K155" s="23" t="s">
        <v>2342</v>
      </c>
      <c r="L155" s="23" t="s">
        <v>3214</v>
      </c>
      <c r="M155" s="23" t="s">
        <v>227</v>
      </c>
      <c r="N155" s="23" t="s">
        <v>251</v>
      </c>
      <c r="O155" s="23" t="s">
        <v>252</v>
      </c>
      <c r="P155" s="23" t="s">
        <v>1854</v>
      </c>
      <c r="Q155" s="23" t="s">
        <v>3215</v>
      </c>
      <c r="R155" s="23" t="s">
        <v>3216</v>
      </c>
      <c r="S155" s="23" t="s">
        <v>2408</v>
      </c>
      <c r="T155" s="23" t="s">
        <v>2409</v>
      </c>
    </row>
    <row r="156" spans="1:20" ht="78.75" customHeight="1" x14ac:dyDescent="0.3">
      <c r="A156" s="25" t="s">
        <v>3217</v>
      </c>
      <c r="B156" s="23" t="s">
        <v>3218</v>
      </c>
      <c r="C156" s="23" t="s">
        <v>3028</v>
      </c>
      <c r="D156" s="23" t="s">
        <v>2383</v>
      </c>
      <c r="E156" s="23" t="s">
        <v>142</v>
      </c>
      <c r="F156" s="23" t="s">
        <v>236</v>
      </c>
      <c r="G156" s="23" t="s">
        <v>3219</v>
      </c>
      <c r="H156" s="23" t="s">
        <v>2602</v>
      </c>
      <c r="I156" s="23" t="s">
        <v>2364</v>
      </c>
      <c r="J156" s="23" t="s">
        <v>3220</v>
      </c>
      <c r="K156" s="23" t="s">
        <v>2345</v>
      </c>
      <c r="L156" s="23" t="s">
        <v>2366</v>
      </c>
      <c r="M156" s="23" t="s">
        <v>227</v>
      </c>
      <c r="N156" s="23" t="s">
        <v>228</v>
      </c>
      <c r="O156" s="23" t="s">
        <v>229</v>
      </c>
      <c r="P156" s="23" t="s">
        <v>1909</v>
      </c>
      <c r="Q156" s="23" t="s">
        <v>3221</v>
      </c>
      <c r="R156" s="23" t="s">
        <v>2368</v>
      </c>
      <c r="S156" s="23" t="s">
        <v>2369</v>
      </c>
      <c r="T156" s="23" t="s">
        <v>3222</v>
      </c>
    </row>
    <row r="157" spans="1:20" ht="78.75" customHeight="1" x14ac:dyDescent="0.3">
      <c r="A157" s="25" t="s">
        <v>3223</v>
      </c>
      <c r="B157" s="23" t="s">
        <v>3224</v>
      </c>
      <c r="C157" s="23" t="s">
        <v>3028</v>
      </c>
      <c r="D157" s="23" t="s">
        <v>2383</v>
      </c>
      <c r="E157" s="23" t="s">
        <v>147</v>
      </c>
      <c r="F157" s="23" t="s">
        <v>236</v>
      </c>
      <c r="G157" s="23" t="s">
        <v>3219</v>
      </c>
      <c r="H157" s="23" t="s">
        <v>3225</v>
      </c>
      <c r="I157" s="23" t="s">
        <v>2364</v>
      </c>
      <c r="J157" s="23" t="s">
        <v>3226</v>
      </c>
      <c r="K157" s="23" t="s">
        <v>2345</v>
      </c>
      <c r="L157" s="23" t="s">
        <v>2366</v>
      </c>
      <c r="M157" s="23" t="s">
        <v>227</v>
      </c>
      <c r="N157" s="23" t="s">
        <v>228</v>
      </c>
      <c r="O157" s="23" t="s">
        <v>229</v>
      </c>
      <c r="P157" s="23" t="s">
        <v>1909</v>
      </c>
      <c r="Q157" s="23" t="s">
        <v>3227</v>
      </c>
      <c r="R157" s="23" t="s">
        <v>2368</v>
      </c>
      <c r="S157" s="23" t="s">
        <v>2369</v>
      </c>
      <c r="T157" s="23" t="s">
        <v>3222</v>
      </c>
    </row>
    <row r="158" spans="1:20" ht="78.75" customHeight="1" x14ac:dyDescent="0.3">
      <c r="A158" s="25" t="s">
        <v>3228</v>
      </c>
      <c r="B158" s="23" t="s">
        <v>3229</v>
      </c>
      <c r="C158" s="23" t="s">
        <v>3028</v>
      </c>
      <c r="D158" s="23" t="s">
        <v>2383</v>
      </c>
      <c r="E158" s="23" t="s">
        <v>147</v>
      </c>
      <c r="F158" s="23" t="s">
        <v>672</v>
      </c>
      <c r="G158" s="23" t="s">
        <v>3219</v>
      </c>
      <c r="H158" s="23" t="s">
        <v>3230</v>
      </c>
      <c r="I158" s="23" t="s">
        <v>2364</v>
      </c>
      <c r="J158" s="23" t="s">
        <v>3231</v>
      </c>
      <c r="K158" s="23" t="s">
        <v>2345</v>
      </c>
      <c r="L158" s="23" t="s">
        <v>2477</v>
      </c>
      <c r="M158" s="23" t="s">
        <v>227</v>
      </c>
      <c r="N158" s="23" t="s">
        <v>228</v>
      </c>
      <c r="O158" s="23" t="s">
        <v>229</v>
      </c>
      <c r="P158" s="23" t="s">
        <v>672</v>
      </c>
      <c r="Q158" s="23" t="s">
        <v>3232</v>
      </c>
      <c r="R158" s="23" t="s">
        <v>2368</v>
      </c>
      <c r="S158" s="23" t="s">
        <v>2369</v>
      </c>
      <c r="T158" s="23" t="s">
        <v>3222</v>
      </c>
    </row>
    <row r="159" spans="1:20" ht="78.75" customHeight="1" x14ac:dyDescent="0.3">
      <c r="A159" s="25" t="s">
        <v>3233</v>
      </c>
      <c r="B159" s="23" t="s">
        <v>3234</v>
      </c>
      <c r="C159" s="23" t="s">
        <v>3028</v>
      </c>
      <c r="D159" s="23" t="s">
        <v>2383</v>
      </c>
      <c r="E159" s="23" t="s">
        <v>147</v>
      </c>
      <c r="F159" s="23" t="s">
        <v>672</v>
      </c>
      <c r="G159" s="23" t="s">
        <v>3219</v>
      </c>
      <c r="H159" s="23" t="s">
        <v>3235</v>
      </c>
      <c r="I159" s="23" t="s">
        <v>3236</v>
      </c>
      <c r="J159" s="23" t="s">
        <v>3237</v>
      </c>
      <c r="K159" s="23" t="s">
        <v>2345</v>
      </c>
      <c r="L159" s="23" t="s">
        <v>2477</v>
      </c>
      <c r="M159" s="23" t="s">
        <v>227</v>
      </c>
      <c r="N159" s="23" t="s">
        <v>228</v>
      </c>
      <c r="O159" s="23" t="s">
        <v>229</v>
      </c>
      <c r="P159" s="23" t="s">
        <v>672</v>
      </c>
      <c r="Q159" s="23" t="s">
        <v>3238</v>
      </c>
      <c r="R159" s="23" t="s">
        <v>3239</v>
      </c>
      <c r="S159" s="23" t="s">
        <v>2369</v>
      </c>
      <c r="T159" s="23" t="s">
        <v>3222</v>
      </c>
    </row>
    <row r="160" spans="1:20" ht="78.75" customHeight="1" x14ac:dyDescent="0.3">
      <c r="A160" s="25" t="s">
        <v>3240</v>
      </c>
      <c r="B160" s="23" t="s">
        <v>3241</v>
      </c>
      <c r="C160" s="23" t="s">
        <v>3028</v>
      </c>
      <c r="D160" s="23" t="s">
        <v>2383</v>
      </c>
      <c r="E160" s="23" t="s">
        <v>147</v>
      </c>
      <c r="F160" s="23" t="s">
        <v>464</v>
      </c>
      <c r="G160" s="23" t="s">
        <v>3219</v>
      </c>
      <c r="H160" s="23" t="s">
        <v>3242</v>
      </c>
      <c r="I160" s="23" t="s">
        <v>2468</v>
      </c>
      <c r="J160" s="23" t="s">
        <v>3243</v>
      </c>
      <c r="K160" s="23" t="s">
        <v>2345</v>
      </c>
      <c r="L160" s="23" t="s">
        <v>2470</v>
      </c>
      <c r="M160" s="23" t="s">
        <v>227</v>
      </c>
      <c r="N160" s="23" t="s">
        <v>228</v>
      </c>
      <c r="O160" s="23" t="s">
        <v>229</v>
      </c>
      <c r="P160" s="23" t="s">
        <v>2791</v>
      </c>
      <c r="Q160" s="23" t="s">
        <v>3238</v>
      </c>
      <c r="R160" s="23" t="s">
        <v>2479</v>
      </c>
      <c r="S160" s="23" t="s">
        <v>2369</v>
      </c>
      <c r="T160" s="23" t="s">
        <v>3222</v>
      </c>
    </row>
    <row r="161" spans="1:20" ht="78.75" customHeight="1" x14ac:dyDescent="0.3">
      <c r="A161" s="25" t="s">
        <v>3244</v>
      </c>
      <c r="B161" s="23" t="s">
        <v>3245</v>
      </c>
      <c r="C161" s="23" t="s">
        <v>3028</v>
      </c>
      <c r="D161" s="23" t="s">
        <v>2383</v>
      </c>
      <c r="E161" s="23" t="s">
        <v>147</v>
      </c>
      <c r="F161" s="23" t="s">
        <v>464</v>
      </c>
      <c r="G161" s="23" t="s">
        <v>3219</v>
      </c>
      <c r="H161" s="23" t="s">
        <v>3246</v>
      </c>
      <c r="I161" s="23" t="s">
        <v>2468</v>
      </c>
      <c r="J161" s="23" t="s">
        <v>3247</v>
      </c>
      <c r="K161" s="23" t="s">
        <v>2345</v>
      </c>
      <c r="L161" s="23" t="s">
        <v>2470</v>
      </c>
      <c r="M161" s="23" t="s">
        <v>227</v>
      </c>
      <c r="N161" s="23" t="s">
        <v>228</v>
      </c>
      <c r="O161" s="23" t="s">
        <v>229</v>
      </c>
      <c r="P161" s="23" t="s">
        <v>1909</v>
      </c>
      <c r="Q161" s="23" t="s">
        <v>3248</v>
      </c>
      <c r="R161" s="23" t="s">
        <v>2479</v>
      </c>
      <c r="S161" s="23" t="s">
        <v>2369</v>
      </c>
      <c r="T161" s="23" t="s">
        <v>3222</v>
      </c>
    </row>
    <row r="162" spans="1:20" ht="78.75" customHeight="1" x14ac:dyDescent="0.3">
      <c r="A162" s="25" t="s">
        <v>3249</v>
      </c>
      <c r="B162" s="23" t="s">
        <v>3250</v>
      </c>
      <c r="C162" s="23" t="s">
        <v>3028</v>
      </c>
      <c r="D162" s="23" t="s">
        <v>2383</v>
      </c>
      <c r="E162" s="23" t="s">
        <v>155</v>
      </c>
      <c r="F162" s="23" t="s">
        <v>464</v>
      </c>
      <c r="G162" s="23" t="s">
        <v>3219</v>
      </c>
      <c r="H162" s="23" t="s">
        <v>3251</v>
      </c>
      <c r="I162" s="23" t="s">
        <v>2468</v>
      </c>
      <c r="J162" s="23" t="s">
        <v>3017</v>
      </c>
      <c r="K162" s="23" t="s">
        <v>2345</v>
      </c>
      <c r="L162" s="23" t="s">
        <v>2495</v>
      </c>
      <c r="M162" s="23" t="s">
        <v>227</v>
      </c>
      <c r="N162" s="23" t="s">
        <v>251</v>
      </c>
      <c r="O162" s="23" t="s">
        <v>252</v>
      </c>
      <c r="P162" s="23" t="s">
        <v>1909</v>
      </c>
      <c r="Q162" s="23" t="s">
        <v>3252</v>
      </c>
      <c r="R162" s="23" t="s">
        <v>2479</v>
      </c>
      <c r="S162" s="23" t="s">
        <v>2369</v>
      </c>
      <c r="T162" s="23" t="s">
        <v>3222</v>
      </c>
    </row>
    <row r="163" spans="1:20" ht="78.75" customHeight="1" x14ac:dyDescent="0.3">
      <c r="A163" s="25" t="s">
        <v>3253</v>
      </c>
      <c r="B163" s="23" t="s">
        <v>3254</v>
      </c>
      <c r="C163" s="23" t="s">
        <v>3028</v>
      </c>
      <c r="D163" s="23" t="s">
        <v>2383</v>
      </c>
      <c r="E163" s="23" t="s">
        <v>147</v>
      </c>
      <c r="F163" s="23" t="s">
        <v>464</v>
      </c>
      <c r="G163" s="23" t="s">
        <v>3219</v>
      </c>
      <c r="H163" s="23" t="s">
        <v>3255</v>
      </c>
      <c r="I163" s="23" t="s">
        <v>2468</v>
      </c>
      <c r="J163" s="23" t="s">
        <v>3017</v>
      </c>
      <c r="K163" s="23" t="s">
        <v>2345</v>
      </c>
      <c r="L163" s="23" t="s">
        <v>2470</v>
      </c>
      <c r="M163" s="23" t="s">
        <v>227</v>
      </c>
      <c r="N163" s="23" t="s">
        <v>228</v>
      </c>
      <c r="O163" s="23" t="s">
        <v>229</v>
      </c>
      <c r="P163" s="23" t="s">
        <v>1909</v>
      </c>
      <c r="Q163" s="23" t="s">
        <v>3256</v>
      </c>
      <c r="R163" s="23" t="s">
        <v>2479</v>
      </c>
      <c r="S163" s="23" t="s">
        <v>2369</v>
      </c>
      <c r="T163" s="23" t="s">
        <v>3222</v>
      </c>
    </row>
    <row r="164" spans="1:20" ht="78.75" customHeight="1" x14ac:dyDescent="0.3">
      <c r="A164" s="25" t="s">
        <v>3257</v>
      </c>
      <c r="B164" s="23" t="s">
        <v>3258</v>
      </c>
      <c r="C164" s="23" t="s">
        <v>3028</v>
      </c>
      <c r="D164" s="23" t="s">
        <v>2383</v>
      </c>
      <c r="E164" s="23" t="s">
        <v>147</v>
      </c>
      <c r="F164" s="23" t="s">
        <v>672</v>
      </c>
      <c r="G164" s="23" t="s">
        <v>3219</v>
      </c>
      <c r="H164" s="23" t="s">
        <v>3259</v>
      </c>
      <c r="I164" s="23" t="s">
        <v>2364</v>
      </c>
      <c r="J164" s="23" t="s">
        <v>3260</v>
      </c>
      <c r="K164" s="23" t="s">
        <v>2345</v>
      </c>
      <c r="L164" s="23" t="s">
        <v>3261</v>
      </c>
      <c r="M164" s="23" t="s">
        <v>227</v>
      </c>
      <c r="N164" s="23" t="s">
        <v>228</v>
      </c>
      <c r="O164" s="23" t="s">
        <v>229</v>
      </c>
      <c r="P164" s="23" t="s">
        <v>672</v>
      </c>
      <c r="Q164" s="23" t="s">
        <v>3262</v>
      </c>
      <c r="R164" s="23" t="s">
        <v>2368</v>
      </c>
      <c r="S164" s="23" t="s">
        <v>2369</v>
      </c>
      <c r="T164" s="23" t="s">
        <v>3222</v>
      </c>
    </row>
    <row r="165" spans="1:20" ht="78.75" customHeight="1" x14ac:dyDescent="0.3">
      <c r="A165" s="25" t="s">
        <v>3263</v>
      </c>
      <c r="B165" s="23" t="s">
        <v>3264</v>
      </c>
      <c r="C165" s="23" t="s">
        <v>3028</v>
      </c>
      <c r="D165" s="23" t="s">
        <v>2383</v>
      </c>
      <c r="E165" s="23" t="s">
        <v>147</v>
      </c>
      <c r="F165" s="23" t="s">
        <v>236</v>
      </c>
      <c r="G165" s="23" t="s">
        <v>3219</v>
      </c>
      <c r="H165" s="23" t="s">
        <v>3265</v>
      </c>
      <c r="I165" s="23" t="s">
        <v>2364</v>
      </c>
      <c r="J165" s="23" t="s">
        <v>3266</v>
      </c>
      <c r="K165" s="23" t="s">
        <v>2345</v>
      </c>
      <c r="L165" s="23" t="s">
        <v>2366</v>
      </c>
      <c r="M165" s="23" t="s">
        <v>227</v>
      </c>
      <c r="N165" s="23" t="s">
        <v>228</v>
      </c>
      <c r="O165" s="23" t="s">
        <v>229</v>
      </c>
      <c r="P165" s="23" t="s">
        <v>1909</v>
      </c>
      <c r="Q165" s="23" t="s">
        <v>3267</v>
      </c>
      <c r="R165" s="23" t="s">
        <v>2368</v>
      </c>
      <c r="S165" s="23" t="s">
        <v>2369</v>
      </c>
      <c r="T165" s="23" t="s">
        <v>3222</v>
      </c>
    </row>
    <row r="166" spans="1:20" ht="78.75" customHeight="1" x14ac:dyDescent="0.3">
      <c r="A166" s="25" t="s">
        <v>3268</v>
      </c>
      <c r="B166" s="23" t="s">
        <v>3269</v>
      </c>
      <c r="C166" s="23" t="s">
        <v>3028</v>
      </c>
      <c r="D166" s="23" t="s">
        <v>2383</v>
      </c>
      <c r="E166" s="23" t="s">
        <v>155</v>
      </c>
      <c r="F166" s="23" t="s">
        <v>236</v>
      </c>
      <c r="G166" s="23" t="s">
        <v>3219</v>
      </c>
      <c r="H166" s="23" t="s">
        <v>3270</v>
      </c>
      <c r="I166" s="23" t="s">
        <v>2364</v>
      </c>
      <c r="J166" s="23" t="s">
        <v>3271</v>
      </c>
      <c r="K166" s="23" t="s">
        <v>2345</v>
      </c>
      <c r="L166" s="23" t="s">
        <v>2495</v>
      </c>
      <c r="M166" s="23" t="s">
        <v>227</v>
      </c>
      <c r="N166" s="23" t="s">
        <v>251</v>
      </c>
      <c r="O166" s="23" t="s">
        <v>252</v>
      </c>
      <c r="P166" s="23" t="s">
        <v>1909</v>
      </c>
      <c r="Q166" s="23" t="s">
        <v>3272</v>
      </c>
      <c r="R166" s="23" t="s">
        <v>2368</v>
      </c>
      <c r="S166" s="23" t="s">
        <v>2369</v>
      </c>
      <c r="T166" s="23" t="s">
        <v>2409</v>
      </c>
    </row>
    <row r="167" spans="1:20" ht="78.75" customHeight="1" x14ac:dyDescent="0.3">
      <c r="A167" s="25" t="s">
        <v>3273</v>
      </c>
      <c r="B167" s="23" t="s">
        <v>3274</v>
      </c>
      <c r="C167" s="23" t="s">
        <v>3028</v>
      </c>
      <c r="D167" s="23" t="s">
        <v>2383</v>
      </c>
      <c r="E167" s="23" t="s">
        <v>147</v>
      </c>
      <c r="F167" s="23" t="s">
        <v>236</v>
      </c>
      <c r="G167" s="23" t="s">
        <v>3219</v>
      </c>
      <c r="H167" s="23" t="s">
        <v>3275</v>
      </c>
      <c r="I167" s="23" t="s">
        <v>2364</v>
      </c>
      <c r="J167" s="23" t="s">
        <v>3276</v>
      </c>
      <c r="K167" s="23" t="s">
        <v>2345</v>
      </c>
      <c r="L167" s="23" t="s">
        <v>2366</v>
      </c>
      <c r="M167" s="23" t="s">
        <v>227</v>
      </c>
      <c r="N167" s="23" t="s">
        <v>228</v>
      </c>
      <c r="O167" s="23" t="s">
        <v>229</v>
      </c>
      <c r="P167" s="23" t="s">
        <v>1928</v>
      </c>
      <c r="Q167" s="23" t="s">
        <v>3277</v>
      </c>
      <c r="R167" s="23" t="s">
        <v>3278</v>
      </c>
      <c r="S167" s="23" t="s">
        <v>2369</v>
      </c>
      <c r="T167" s="23" t="s">
        <v>3222</v>
      </c>
    </row>
    <row r="168" spans="1:20" ht="78.75" customHeight="1" x14ac:dyDescent="0.3">
      <c r="A168" s="25" t="s">
        <v>3279</v>
      </c>
      <c r="B168" s="23" t="s">
        <v>3280</v>
      </c>
      <c r="C168" s="23" t="s">
        <v>3028</v>
      </c>
      <c r="D168" s="23" t="s">
        <v>2383</v>
      </c>
      <c r="E168" s="23" t="s">
        <v>155</v>
      </c>
      <c r="F168" s="23" t="s">
        <v>236</v>
      </c>
      <c r="G168" s="23" t="s">
        <v>2688</v>
      </c>
      <c r="H168" s="23" t="s">
        <v>2602</v>
      </c>
      <c r="I168" s="23" t="s">
        <v>2364</v>
      </c>
      <c r="J168" s="23" t="s">
        <v>2689</v>
      </c>
      <c r="K168" s="23" t="s">
        <v>2345</v>
      </c>
      <c r="L168" s="23" t="s">
        <v>2495</v>
      </c>
      <c r="M168" s="23" t="s">
        <v>227</v>
      </c>
      <c r="N168" s="23" t="s">
        <v>251</v>
      </c>
      <c r="O168" s="23" t="s">
        <v>252</v>
      </c>
      <c r="P168" s="23" t="s">
        <v>1909</v>
      </c>
      <c r="Q168" s="23" t="s">
        <v>3232</v>
      </c>
      <c r="R168" s="23" t="s">
        <v>2368</v>
      </c>
      <c r="S168" s="23" t="s">
        <v>2369</v>
      </c>
      <c r="T168" s="23" t="s">
        <v>3222</v>
      </c>
    </row>
    <row r="169" spans="1:20" ht="78.75" customHeight="1" x14ac:dyDescent="0.3">
      <c r="A169" s="25" t="s">
        <v>3281</v>
      </c>
      <c r="B169" s="23" t="s">
        <v>3282</v>
      </c>
      <c r="C169" s="23" t="s">
        <v>3028</v>
      </c>
      <c r="D169" s="23" t="s">
        <v>2383</v>
      </c>
      <c r="E169" s="23" t="s">
        <v>147</v>
      </c>
      <c r="F169" s="23" t="s">
        <v>2449</v>
      </c>
      <c r="G169" s="23" t="s">
        <v>3219</v>
      </c>
      <c r="H169" s="23" t="s">
        <v>2602</v>
      </c>
      <c r="I169" s="23" t="s">
        <v>2364</v>
      </c>
      <c r="J169" s="23" t="s">
        <v>3283</v>
      </c>
      <c r="K169" s="23" t="s">
        <v>2345</v>
      </c>
      <c r="L169" s="23" t="s">
        <v>2759</v>
      </c>
      <c r="M169" s="23" t="s">
        <v>227</v>
      </c>
      <c r="N169" s="23" t="s">
        <v>228</v>
      </c>
      <c r="O169" s="23" t="s">
        <v>229</v>
      </c>
      <c r="P169" s="23" t="s">
        <v>1830</v>
      </c>
      <c r="Q169" s="23" t="s">
        <v>3221</v>
      </c>
      <c r="R169" s="23" t="s">
        <v>2368</v>
      </c>
      <c r="S169" s="23" t="s">
        <v>2369</v>
      </c>
      <c r="T169" s="23" t="s">
        <v>3222</v>
      </c>
    </row>
  </sheetData>
  <autoFilter ref="A1:S169" xr:uid="{00000000-0009-0000-0000-00000C000000}"/>
  <dataValidations count="5">
    <dataValidation type="list" allowBlank="1" sqref="M2:M500" xr:uid="{00000000-0002-0000-0C00-000000000000}">
      <formula1>"Not Run,Pass,Fail,Blocked"</formula1>
      <formula2>0</formula2>
    </dataValidation>
    <dataValidation type="list" allowBlank="1" sqref="N2:N500" xr:uid="{00000000-0002-0000-0C00-000001000000}">
      <formula1>"Automated,Manual"</formula1>
      <formula2>0</formula2>
    </dataValidation>
    <dataValidation type="list" allowBlank="1" sqref="O2:O500" xr:uid="{00000000-0002-0000-0C00-000002000000}">
      <formula1>"Yes,Yes (Manual),No"</formula1>
      <formula2>0</formula2>
    </dataValidation>
    <dataValidation type="list" allowBlank="1" sqref="D2:D500" xr:uid="{00000000-0002-0000-0C00-000003000000}">
      <formula1>"GET,POST,PUT,PATCH,DELETE"</formula1>
      <formula2>0</formula2>
    </dataValidation>
    <dataValidation type="list" allowBlank="1" sqref="E2:E500" xr:uid="{00000000-0002-0000-0C00-000004000000}">
      <formula1>"P1 - Critical,P2 - High,P3 - Medium,P4 - Low"</formula1>
      <formula2>0</formula2>
    </dataValidation>
  </dataValidation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42B58"/>
  </sheetPr>
  <dimension ref="A1:M31"/>
  <sheetViews>
    <sheetView topLeftCell="A19" zoomScaleNormal="100" workbookViewId="0">
      <pane xSplit="1" topLeftCell="B1" activePane="topRight" state="frozen"/>
      <selection pane="topRight" activeCell="B3" sqref="B3"/>
    </sheetView>
  </sheetViews>
  <sheetFormatPr defaultColWidth="8.6640625" defaultRowHeight="14.4" x14ac:dyDescent="0.3"/>
  <cols>
    <col min="1" max="1" width="51.6640625" customWidth="1"/>
    <col min="2" max="14" width="15" customWidth="1"/>
  </cols>
  <sheetData>
    <row r="1" spans="1:13" ht="51.75" customHeight="1" x14ac:dyDescent="0.35">
      <c r="A1" s="26" t="s">
        <v>3284</v>
      </c>
    </row>
    <row r="2" spans="1:13" ht="31.5" customHeight="1" x14ac:dyDescent="0.3">
      <c r="A2" s="1" t="s">
        <v>3285</v>
      </c>
      <c r="B2" s="1"/>
      <c r="C2" s="1"/>
      <c r="D2" s="1"/>
      <c r="E2" s="1"/>
      <c r="F2" s="1"/>
      <c r="G2" s="1"/>
      <c r="H2" s="1"/>
      <c r="I2" s="1"/>
      <c r="J2" s="1"/>
      <c r="K2" s="1"/>
      <c r="L2" s="1"/>
      <c r="M2" s="1"/>
    </row>
    <row r="3" spans="1:13" ht="25.5" customHeight="1" x14ac:dyDescent="0.3"/>
    <row r="4" spans="1:13" ht="45.75" customHeight="1" x14ac:dyDescent="0.3">
      <c r="A4" s="27" t="s">
        <v>3286</v>
      </c>
    </row>
    <row r="5" spans="1:13" ht="25.5" customHeight="1" x14ac:dyDescent="0.3">
      <c r="A5" s="28" t="s">
        <v>3287</v>
      </c>
      <c r="B5" s="28" t="s">
        <v>3288</v>
      </c>
      <c r="C5" s="28" t="s">
        <v>3289</v>
      </c>
      <c r="D5" s="28" t="s">
        <v>3290</v>
      </c>
      <c r="E5" s="28" t="s">
        <v>3291</v>
      </c>
      <c r="F5" s="28" t="s">
        <v>3292</v>
      </c>
      <c r="G5" s="28" t="s">
        <v>3293</v>
      </c>
      <c r="H5" s="28" t="s">
        <v>3294</v>
      </c>
      <c r="I5" s="28" t="s">
        <v>3295</v>
      </c>
      <c r="J5" s="28" t="s">
        <v>3296</v>
      </c>
      <c r="K5" s="28" t="s">
        <v>3297</v>
      </c>
      <c r="L5" s="28" t="s">
        <v>3298</v>
      </c>
      <c r="M5" s="28" t="s">
        <v>3299</v>
      </c>
    </row>
    <row r="6" spans="1:13" ht="40.5" customHeight="1" x14ac:dyDescent="0.3">
      <c r="A6" s="29" t="s">
        <v>3300</v>
      </c>
      <c r="B6" s="30" t="s">
        <v>3301</v>
      </c>
      <c r="C6" s="31" t="s">
        <v>3302</v>
      </c>
      <c r="D6" s="30" t="s">
        <v>3301</v>
      </c>
      <c r="E6" s="30" t="s">
        <v>3301</v>
      </c>
      <c r="F6" s="30" t="s">
        <v>3301</v>
      </c>
      <c r="G6" s="30" t="s">
        <v>3301</v>
      </c>
      <c r="H6" s="30" t="s">
        <v>3301</v>
      </c>
      <c r="I6" s="30" t="s">
        <v>3301</v>
      </c>
      <c r="J6" s="30" t="s">
        <v>3301</v>
      </c>
      <c r="K6" s="30" t="s">
        <v>3301</v>
      </c>
      <c r="L6" s="30" t="s">
        <v>3301</v>
      </c>
      <c r="M6" s="30" t="s">
        <v>3301</v>
      </c>
    </row>
    <row r="7" spans="1:13" ht="40.5" customHeight="1" x14ac:dyDescent="0.3">
      <c r="A7" s="29" t="s">
        <v>3303</v>
      </c>
      <c r="B7" s="30" t="s">
        <v>3301</v>
      </c>
      <c r="C7" s="32" t="s">
        <v>3304</v>
      </c>
      <c r="D7" s="31" t="s">
        <v>3302</v>
      </c>
      <c r="E7" s="32" t="s">
        <v>3304</v>
      </c>
      <c r="F7" s="30" t="s">
        <v>3301</v>
      </c>
      <c r="G7" s="30" t="s">
        <v>3301</v>
      </c>
      <c r="H7" s="30" t="s">
        <v>3301</v>
      </c>
      <c r="I7" s="30" t="s">
        <v>3301</v>
      </c>
      <c r="J7" s="30" t="s">
        <v>3301</v>
      </c>
      <c r="K7" s="30" t="s">
        <v>3301</v>
      </c>
      <c r="L7" s="30" t="s">
        <v>3301</v>
      </c>
      <c r="M7" s="30" t="s">
        <v>3301</v>
      </c>
    </row>
    <row r="8" spans="1:13" ht="25.5" customHeight="1" x14ac:dyDescent="0.3">
      <c r="A8" s="29" t="s">
        <v>3305</v>
      </c>
      <c r="B8" s="30" t="s">
        <v>3301</v>
      </c>
      <c r="C8" s="32" t="s">
        <v>3304</v>
      </c>
      <c r="D8" s="32" t="s">
        <v>3304</v>
      </c>
      <c r="E8" s="31" t="s">
        <v>3302</v>
      </c>
      <c r="F8" s="30" t="s">
        <v>3301</v>
      </c>
      <c r="G8" s="30" t="s">
        <v>3301</v>
      </c>
      <c r="H8" s="30" t="s">
        <v>3301</v>
      </c>
      <c r="I8" s="30" t="s">
        <v>3301</v>
      </c>
      <c r="J8" s="30" t="s">
        <v>3301</v>
      </c>
      <c r="K8" s="30" t="s">
        <v>3301</v>
      </c>
      <c r="L8" s="30" t="s">
        <v>3301</v>
      </c>
      <c r="M8" s="30" t="s">
        <v>3301</v>
      </c>
    </row>
    <row r="9" spans="1:13" ht="25.5" customHeight="1" x14ac:dyDescent="0.3">
      <c r="A9" s="29" t="s">
        <v>3306</v>
      </c>
      <c r="B9" s="30" t="s">
        <v>3301</v>
      </c>
      <c r="C9" s="32" t="s">
        <v>3304</v>
      </c>
      <c r="D9" s="32" t="s">
        <v>3304</v>
      </c>
      <c r="E9" s="32" t="s">
        <v>3304</v>
      </c>
      <c r="F9" s="31" t="s">
        <v>3302</v>
      </c>
      <c r="G9" s="30" t="s">
        <v>3301</v>
      </c>
      <c r="H9" s="30" t="s">
        <v>3301</v>
      </c>
      <c r="I9" s="30" t="s">
        <v>3301</v>
      </c>
      <c r="J9" s="30" t="s">
        <v>3301</v>
      </c>
      <c r="K9" s="30" t="s">
        <v>3301</v>
      </c>
      <c r="L9" s="30" t="s">
        <v>3301</v>
      </c>
      <c r="M9" s="30" t="s">
        <v>3301</v>
      </c>
    </row>
    <row r="10" spans="1:13" ht="25.5" customHeight="1" x14ac:dyDescent="0.3">
      <c r="A10" s="29" t="s">
        <v>3307</v>
      </c>
      <c r="B10" s="30" t="s">
        <v>3301</v>
      </c>
      <c r="C10" s="32" t="s">
        <v>3304</v>
      </c>
      <c r="D10" s="32" t="s">
        <v>3304</v>
      </c>
      <c r="E10" s="32" t="s">
        <v>3304</v>
      </c>
      <c r="F10" s="32" t="s">
        <v>3304</v>
      </c>
      <c r="G10" s="31" t="s">
        <v>3302</v>
      </c>
      <c r="H10" s="30" t="s">
        <v>3301</v>
      </c>
      <c r="I10" s="30" t="s">
        <v>3301</v>
      </c>
      <c r="J10" s="30" t="s">
        <v>3301</v>
      </c>
      <c r="K10" s="30" t="s">
        <v>3301</v>
      </c>
      <c r="L10" s="30" t="s">
        <v>3301</v>
      </c>
      <c r="M10" s="30" t="s">
        <v>3301</v>
      </c>
    </row>
    <row r="11" spans="1:13" ht="40.5" customHeight="1" x14ac:dyDescent="0.3">
      <c r="A11" s="29" t="s">
        <v>3308</v>
      </c>
      <c r="B11" s="30" t="s">
        <v>3301</v>
      </c>
      <c r="C11" s="32" t="s">
        <v>3304</v>
      </c>
      <c r="D11" s="32" t="s">
        <v>3304</v>
      </c>
      <c r="E11" s="32" t="s">
        <v>3304</v>
      </c>
      <c r="F11" s="32" t="s">
        <v>3304</v>
      </c>
      <c r="G11" s="32" t="s">
        <v>3304</v>
      </c>
      <c r="H11" s="31" t="s">
        <v>3302</v>
      </c>
      <c r="I11" s="30" t="s">
        <v>3301</v>
      </c>
      <c r="J11" s="30" t="s">
        <v>3301</v>
      </c>
      <c r="K11" s="30" t="s">
        <v>3301</v>
      </c>
      <c r="L11" s="30" t="s">
        <v>3301</v>
      </c>
      <c r="M11" s="31" t="s">
        <v>3302</v>
      </c>
    </row>
    <row r="12" spans="1:13" ht="40.5" customHeight="1" x14ac:dyDescent="0.3">
      <c r="A12" s="29" t="s">
        <v>3309</v>
      </c>
      <c r="B12" s="30" t="s">
        <v>3301</v>
      </c>
      <c r="C12" s="32" t="s">
        <v>3304</v>
      </c>
      <c r="D12" s="32" t="s">
        <v>3304</v>
      </c>
      <c r="E12" s="32" t="s">
        <v>3304</v>
      </c>
      <c r="F12" s="32" t="s">
        <v>3304</v>
      </c>
      <c r="G12" s="32" t="s">
        <v>3304</v>
      </c>
      <c r="H12" s="32" t="s">
        <v>3304</v>
      </c>
      <c r="I12" s="31" t="s">
        <v>3302</v>
      </c>
      <c r="J12" s="30" t="s">
        <v>3301</v>
      </c>
      <c r="K12" s="30" t="s">
        <v>3301</v>
      </c>
      <c r="L12" s="30" t="s">
        <v>3301</v>
      </c>
      <c r="M12" s="31" t="s">
        <v>3302</v>
      </c>
    </row>
    <row r="13" spans="1:13" ht="25.5" customHeight="1" x14ac:dyDescent="0.3">
      <c r="A13" s="29" t="s">
        <v>3310</v>
      </c>
      <c r="B13" s="30" t="s">
        <v>3301</v>
      </c>
      <c r="C13" s="32" t="s">
        <v>3304</v>
      </c>
      <c r="D13" s="32" t="s">
        <v>3304</v>
      </c>
      <c r="E13" s="32" t="s">
        <v>3304</v>
      </c>
      <c r="F13" s="32" t="s">
        <v>3304</v>
      </c>
      <c r="G13" s="32" t="s">
        <v>3304</v>
      </c>
      <c r="H13" s="32" t="s">
        <v>3304</v>
      </c>
      <c r="I13" s="32" t="s">
        <v>3304</v>
      </c>
      <c r="J13" s="31" t="s">
        <v>3302</v>
      </c>
      <c r="K13" s="30" t="s">
        <v>3301</v>
      </c>
      <c r="L13" s="30" t="s">
        <v>3301</v>
      </c>
      <c r="M13" s="32" t="s">
        <v>3304</v>
      </c>
    </row>
    <row r="14" spans="1:13" ht="40.5" customHeight="1" x14ac:dyDescent="0.3">
      <c r="A14" s="29" t="s">
        <v>3311</v>
      </c>
      <c r="B14" s="30" t="s">
        <v>3301</v>
      </c>
      <c r="C14" s="32" t="s">
        <v>3304</v>
      </c>
      <c r="D14" s="32" t="s">
        <v>3304</v>
      </c>
      <c r="E14" s="32" t="s">
        <v>3304</v>
      </c>
      <c r="F14" s="32" t="s">
        <v>3304</v>
      </c>
      <c r="G14" s="32" t="s">
        <v>3304</v>
      </c>
      <c r="H14" s="32" t="s">
        <v>3304</v>
      </c>
      <c r="I14" s="32" t="s">
        <v>3304</v>
      </c>
      <c r="J14" s="32" t="s">
        <v>3304</v>
      </c>
      <c r="K14" s="31" t="s">
        <v>3302</v>
      </c>
      <c r="L14" s="30" t="s">
        <v>3301</v>
      </c>
      <c r="M14" s="32" t="s">
        <v>3304</v>
      </c>
    </row>
    <row r="15" spans="1:13" ht="25.5" customHeight="1" x14ac:dyDescent="0.3">
      <c r="A15" s="29" t="s">
        <v>3312</v>
      </c>
      <c r="B15" s="30" t="s">
        <v>3301</v>
      </c>
      <c r="C15" s="32" t="s">
        <v>3304</v>
      </c>
      <c r="D15" s="32" t="s">
        <v>3304</v>
      </c>
      <c r="E15" s="32" t="s">
        <v>3304</v>
      </c>
      <c r="F15" s="32" t="s">
        <v>3304</v>
      </c>
      <c r="G15" s="32" t="s">
        <v>3304</v>
      </c>
      <c r="H15" s="32" t="s">
        <v>3304</v>
      </c>
      <c r="I15" s="32" t="s">
        <v>3304</v>
      </c>
      <c r="J15" s="32" t="s">
        <v>3304</v>
      </c>
      <c r="K15" s="32" t="s">
        <v>3304</v>
      </c>
      <c r="L15" s="31" t="s">
        <v>3302</v>
      </c>
      <c r="M15" s="32" t="s">
        <v>3304</v>
      </c>
    </row>
    <row r="16" spans="1:13" ht="25.5" customHeight="1" x14ac:dyDescent="0.3">
      <c r="A16" s="33" t="s">
        <v>42</v>
      </c>
      <c r="B16" s="34" t="s">
        <v>2433</v>
      </c>
      <c r="C16" s="34" t="s">
        <v>2468</v>
      </c>
      <c r="D16" s="34" t="s">
        <v>2712</v>
      </c>
      <c r="E16" s="34" t="s">
        <v>2712</v>
      </c>
      <c r="F16" s="34" t="s">
        <v>2578</v>
      </c>
      <c r="G16" s="34" t="s">
        <v>2578</v>
      </c>
      <c r="H16" s="34" t="s">
        <v>2578</v>
      </c>
      <c r="I16" s="34" t="s">
        <v>2578</v>
      </c>
      <c r="J16" s="34" t="s">
        <v>2578</v>
      </c>
      <c r="K16" s="34" t="s">
        <v>2578</v>
      </c>
      <c r="L16" s="34" t="s">
        <v>2578</v>
      </c>
      <c r="M16" s="34" t="s">
        <v>2578</v>
      </c>
    </row>
    <row r="17" spans="1:13" ht="70.5" customHeight="1" x14ac:dyDescent="0.3">
      <c r="A17" s="33" t="s">
        <v>3313</v>
      </c>
      <c r="B17" s="34" t="s">
        <v>3314</v>
      </c>
      <c r="C17" s="34" t="s">
        <v>3315</v>
      </c>
      <c r="D17" s="34" t="s">
        <v>3316</v>
      </c>
      <c r="E17" s="34" t="s">
        <v>3317</v>
      </c>
      <c r="F17" s="34" t="s">
        <v>3318</v>
      </c>
      <c r="G17" s="34" t="s">
        <v>3319</v>
      </c>
      <c r="H17" s="34" t="s">
        <v>3320</v>
      </c>
      <c r="I17" s="34" t="s">
        <v>3321</v>
      </c>
      <c r="J17" s="34" t="s">
        <v>3322</v>
      </c>
      <c r="K17" s="34" t="s">
        <v>3323</v>
      </c>
      <c r="L17" s="34" t="s">
        <v>3324</v>
      </c>
      <c r="M17" s="34" t="s">
        <v>3325</v>
      </c>
    </row>
    <row r="18" spans="1:13" ht="40.5" customHeight="1" x14ac:dyDescent="0.3">
      <c r="A18" s="33" t="s">
        <v>3326</v>
      </c>
      <c r="B18" s="34" t="s">
        <v>3327</v>
      </c>
      <c r="C18" s="34" t="s">
        <v>3328</v>
      </c>
      <c r="D18" s="34" t="s">
        <v>3328</v>
      </c>
      <c r="E18" s="34" t="s">
        <v>3328</v>
      </c>
      <c r="F18" s="34" t="s">
        <v>3328</v>
      </c>
      <c r="G18" s="34" t="s">
        <v>3328</v>
      </c>
      <c r="H18" s="34" t="s">
        <v>3328</v>
      </c>
      <c r="I18" s="34" t="s">
        <v>3328</v>
      </c>
      <c r="J18" s="34" t="s">
        <v>3328</v>
      </c>
      <c r="K18" s="34" t="s">
        <v>3328</v>
      </c>
      <c r="L18" s="34" t="s">
        <v>3328</v>
      </c>
      <c r="M18" s="34" t="s">
        <v>3328</v>
      </c>
    </row>
    <row r="19" spans="1:13" ht="60" customHeight="1" x14ac:dyDescent="0.3">
      <c r="A19" s="35" t="s">
        <v>3329</v>
      </c>
      <c r="B19" s="36" t="s">
        <v>3330</v>
      </c>
      <c r="C19" s="36" t="s">
        <v>3331</v>
      </c>
      <c r="D19" s="36" t="s">
        <v>3332</v>
      </c>
      <c r="E19" s="36" t="s">
        <v>3333</v>
      </c>
      <c r="F19" s="36" t="s">
        <v>3334</v>
      </c>
      <c r="G19" s="36" t="s">
        <v>3335</v>
      </c>
      <c r="H19" s="36" t="s">
        <v>3336</v>
      </c>
      <c r="I19" s="36" t="s">
        <v>3337</v>
      </c>
      <c r="J19" s="36" t="s">
        <v>3338</v>
      </c>
      <c r="K19" s="36" t="s">
        <v>3339</v>
      </c>
      <c r="L19" s="36" t="s">
        <v>3340</v>
      </c>
      <c r="M19" s="36" t="s">
        <v>3341</v>
      </c>
    </row>
    <row r="20" spans="1:13" ht="25.5" customHeight="1" x14ac:dyDescent="0.3"/>
    <row r="21" spans="1:13" ht="45.75" customHeight="1" x14ac:dyDescent="0.3">
      <c r="A21" s="27" t="s">
        <v>3342</v>
      </c>
    </row>
    <row r="22" spans="1:13" ht="25.5" customHeight="1" x14ac:dyDescent="0.3">
      <c r="A22" s="28" t="s">
        <v>3287</v>
      </c>
      <c r="B22" s="28" t="s">
        <v>3288</v>
      </c>
      <c r="C22" s="28" t="s">
        <v>3289</v>
      </c>
      <c r="D22" s="28" t="s">
        <v>3290</v>
      </c>
      <c r="E22" s="28" t="s">
        <v>3291</v>
      </c>
      <c r="F22" s="28" t="s">
        <v>3292</v>
      </c>
    </row>
    <row r="23" spans="1:13" ht="40.5" customHeight="1" x14ac:dyDescent="0.3">
      <c r="A23" s="29" t="s">
        <v>3343</v>
      </c>
      <c r="B23" s="30" t="s">
        <v>3301</v>
      </c>
      <c r="C23" s="31" t="s">
        <v>3302</v>
      </c>
      <c r="D23" s="30" t="s">
        <v>3301</v>
      </c>
      <c r="E23" s="30" t="s">
        <v>3301</v>
      </c>
      <c r="F23" s="30" t="s">
        <v>3301</v>
      </c>
    </row>
    <row r="24" spans="1:13" ht="25.5" customHeight="1" x14ac:dyDescent="0.3">
      <c r="A24" s="29" t="s">
        <v>3344</v>
      </c>
      <c r="B24" s="30" t="s">
        <v>3301</v>
      </c>
      <c r="C24" s="32" t="s">
        <v>3304</v>
      </c>
      <c r="D24" s="31" t="s">
        <v>3302</v>
      </c>
      <c r="E24" s="30" t="s">
        <v>3301</v>
      </c>
      <c r="F24" s="30" t="s">
        <v>3301</v>
      </c>
    </row>
    <row r="25" spans="1:13" ht="40.5" customHeight="1" x14ac:dyDescent="0.3">
      <c r="A25" s="29" t="s">
        <v>3345</v>
      </c>
      <c r="B25" s="30" t="s">
        <v>3301</v>
      </c>
      <c r="C25" s="32" t="s">
        <v>3304</v>
      </c>
      <c r="D25" s="32" t="s">
        <v>3304</v>
      </c>
      <c r="E25" s="31" t="s">
        <v>3302</v>
      </c>
      <c r="F25" s="32" t="s">
        <v>3304</v>
      </c>
    </row>
    <row r="26" spans="1:13" ht="25.5" customHeight="1" x14ac:dyDescent="0.3">
      <c r="A26" s="29" t="s">
        <v>3346</v>
      </c>
      <c r="B26" s="30" t="s">
        <v>3301</v>
      </c>
      <c r="C26" s="32" t="s">
        <v>3304</v>
      </c>
      <c r="D26" s="32" t="s">
        <v>3304</v>
      </c>
      <c r="E26" s="32" t="s">
        <v>3304</v>
      </c>
      <c r="F26" s="31" t="s">
        <v>3302</v>
      </c>
    </row>
    <row r="27" spans="1:13" ht="25.5" customHeight="1" x14ac:dyDescent="0.3">
      <c r="A27" s="33" t="s">
        <v>42</v>
      </c>
      <c r="B27" s="34" t="s">
        <v>2433</v>
      </c>
      <c r="C27" s="34" t="s">
        <v>2468</v>
      </c>
      <c r="D27" s="34" t="s">
        <v>2805</v>
      </c>
      <c r="E27" s="34" t="s">
        <v>2578</v>
      </c>
      <c r="F27" s="34" t="s">
        <v>2578</v>
      </c>
    </row>
    <row r="28" spans="1:13" ht="40.5" customHeight="1" x14ac:dyDescent="0.3">
      <c r="A28" s="33" t="s">
        <v>3313</v>
      </c>
      <c r="B28" s="34" t="s">
        <v>3347</v>
      </c>
      <c r="C28" s="34" t="s">
        <v>3348</v>
      </c>
      <c r="D28" s="34" t="s">
        <v>3349</v>
      </c>
      <c r="E28" s="34" t="s">
        <v>3350</v>
      </c>
      <c r="F28" s="34" t="s">
        <v>3324</v>
      </c>
    </row>
    <row r="29" spans="1:13" ht="60" customHeight="1" x14ac:dyDescent="0.3">
      <c r="A29" s="35" t="s">
        <v>3329</v>
      </c>
      <c r="B29" s="36" t="s">
        <v>3351</v>
      </c>
      <c r="C29" s="36" t="s">
        <v>3352</v>
      </c>
      <c r="D29" s="36" t="s">
        <v>3353</v>
      </c>
      <c r="E29" s="36" t="s">
        <v>3354</v>
      </c>
      <c r="F29" s="36" t="s">
        <v>3355</v>
      </c>
    </row>
    <row r="30" spans="1:13" ht="25.5" customHeight="1" x14ac:dyDescent="0.3"/>
    <row r="31" spans="1:13" ht="31.5" customHeight="1" x14ac:dyDescent="0.3">
      <c r="A31" s="1" t="s">
        <v>3356</v>
      </c>
      <c r="B31" s="1"/>
      <c r="C31" s="1"/>
      <c r="D31" s="1"/>
      <c r="E31" s="1"/>
      <c r="F31" s="1"/>
      <c r="G31" s="1"/>
      <c r="H31" s="1"/>
      <c r="I31" s="1"/>
      <c r="J31" s="1"/>
      <c r="K31" s="1"/>
      <c r="L31" s="1"/>
      <c r="M31" s="1"/>
    </row>
  </sheetData>
  <mergeCells count="2">
    <mergeCell ref="A2:M2"/>
    <mergeCell ref="A31:M3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6"/>
  <sheetViews>
    <sheetView zoomScale="90" zoomScaleNormal="90" workbookViewId="0">
      <pane ySplit="1" topLeftCell="A4" activePane="bottomLeft" state="frozen"/>
      <selection pane="bottomLeft"/>
    </sheetView>
  </sheetViews>
  <sheetFormatPr defaultColWidth="8.6640625" defaultRowHeight="14.4" x14ac:dyDescent="0.3"/>
  <cols>
    <col min="1" max="1" width="30" customWidth="1"/>
    <col min="2" max="5" width="9" customWidth="1"/>
    <col min="6" max="6" width="8" customWidth="1"/>
    <col min="7" max="8" width="11" customWidth="1"/>
    <col min="9" max="9" width="8" customWidth="1"/>
    <col min="10" max="10" width="9" customWidth="1"/>
    <col min="11" max="11" width="11" customWidth="1"/>
    <col min="12" max="12" width="13" customWidth="1"/>
  </cols>
  <sheetData>
    <row r="1" spans="1:12" ht="37.5" customHeight="1" x14ac:dyDescent="0.3">
      <c r="A1" s="24" t="s">
        <v>2349</v>
      </c>
      <c r="B1" s="24" t="s">
        <v>2350</v>
      </c>
      <c r="C1" s="24" t="s">
        <v>3357</v>
      </c>
      <c r="D1" s="24" t="s">
        <v>236</v>
      </c>
      <c r="E1" s="24" t="s">
        <v>464</v>
      </c>
      <c r="F1" s="24" t="s">
        <v>672</v>
      </c>
      <c r="G1" s="24" t="s">
        <v>1854</v>
      </c>
      <c r="H1" s="24" t="s">
        <v>2449</v>
      </c>
      <c r="I1" s="24" t="s">
        <v>2373</v>
      </c>
      <c r="J1" s="24" t="s">
        <v>1870</v>
      </c>
      <c r="K1" s="24" t="s">
        <v>228</v>
      </c>
      <c r="L1" s="24" t="s">
        <v>3358</v>
      </c>
    </row>
    <row r="2" spans="1:12" ht="25.5" customHeight="1" x14ac:dyDescent="0.3">
      <c r="A2" s="25" t="s">
        <v>2360</v>
      </c>
      <c r="B2" s="23" t="s">
        <v>2361</v>
      </c>
      <c r="C2" s="23" t="s">
        <v>3359</v>
      </c>
      <c r="D2" s="23">
        <f>COUNTIFS('API_Test Cases'!$C:$C,$A2,'API_Test Cases'!$D:$D,$B2,'API_Test Cases'!$F:$F,"Pozitiv")</f>
        <v>1</v>
      </c>
      <c r="E2" s="23">
        <f>COUNTIFS('API_Test Cases'!$C:$C,$A2,'API_Test Cases'!$D:$D,$B2,'API_Test Cases'!$F:$F,"Neqativ")</f>
        <v>0</v>
      </c>
      <c r="F2" s="23">
        <f>COUNTIFS('API_Test Cases'!$C:$C,$A2,'API_Test Cases'!$D:$D,$B2,'API_Test Cases'!$F:$F,"BVA")</f>
        <v>0</v>
      </c>
      <c r="G2" s="23">
        <f>COUNTIFS('API_Test Cases'!$C:$C,$A2,'API_Test Cases'!$D:$D,$B2,'API_Test Cases'!$F:$F,"State transition")</f>
        <v>0</v>
      </c>
      <c r="H2" s="23">
        <f>COUNTIFS('API_Test Cases'!$C:$C,$A2,'API_Test Cases'!$D:$D,$B2,'API_Test Cases'!$F:$F,"Schema / Contract")</f>
        <v>0</v>
      </c>
      <c r="I2" s="23">
        <f>COUNTIFS('API_Test Cases'!$C:$C,$A2,'API_Test Cases'!$D:$D,$B2,'API_Test Cases'!$F:$F,"Auth")</f>
        <v>1</v>
      </c>
      <c r="J2" s="23">
        <f t="shared" ref="J2:J13" si="0">SUM(D2:I2)</f>
        <v>2</v>
      </c>
      <c r="K2" s="23">
        <f>COUNTIFS('API_Test Cases'!$C:$C,$A2,'API_Test Cases'!$D:$D,$B2,'API_Test Cases'!$N:$N,"Automated")</f>
        <v>2</v>
      </c>
      <c r="L2" s="37">
        <f t="shared" ref="L2:L14" si="1">IF(J2=0,0,K2/J2)</f>
        <v>1</v>
      </c>
    </row>
    <row r="3" spans="1:12" ht="37.5" customHeight="1" x14ac:dyDescent="0.3">
      <c r="A3" s="25" t="s">
        <v>2382</v>
      </c>
      <c r="B3" s="23" t="s">
        <v>2383</v>
      </c>
      <c r="C3" s="23" t="s">
        <v>3360</v>
      </c>
      <c r="D3" s="23">
        <f>COUNTIFS('API_Test Cases'!$C:$C,$A3,'API_Test Cases'!$D:$D,$B3,'API_Test Cases'!$F:$F,"Pozitiv")</f>
        <v>0</v>
      </c>
      <c r="E3" s="23">
        <f>COUNTIFS('API_Test Cases'!$C:$C,$A3,'API_Test Cases'!$D:$D,$B3,'API_Test Cases'!$F:$F,"Neqativ")</f>
        <v>0</v>
      </c>
      <c r="F3" s="23">
        <f>COUNTIFS('API_Test Cases'!$C:$C,$A3,'API_Test Cases'!$D:$D,$B3,'API_Test Cases'!$F:$F,"BVA")</f>
        <v>0</v>
      </c>
      <c r="G3" s="23">
        <f>COUNTIFS('API_Test Cases'!$C:$C,$A3,'API_Test Cases'!$D:$D,$B3,'API_Test Cases'!$F:$F,"State transition")</f>
        <v>0</v>
      </c>
      <c r="H3" s="23">
        <f>COUNTIFS('API_Test Cases'!$C:$C,$A3,'API_Test Cases'!$D:$D,$B3,'API_Test Cases'!$F:$F,"Schema / Contract")</f>
        <v>0</v>
      </c>
      <c r="I3" s="23">
        <f>COUNTIFS('API_Test Cases'!$C:$C,$A3,'API_Test Cases'!$D:$D,$B3,'API_Test Cases'!$F:$F,"Auth")</f>
        <v>1</v>
      </c>
      <c r="J3" s="23">
        <f t="shared" si="0"/>
        <v>1</v>
      </c>
      <c r="K3" s="23">
        <f>COUNTIFS('API_Test Cases'!$C:$C,$A3,'API_Test Cases'!$D:$D,$B3,'API_Test Cases'!$N:$N,"Automated")</f>
        <v>1</v>
      </c>
      <c r="L3" s="37">
        <f t="shared" si="1"/>
        <v>1</v>
      </c>
    </row>
    <row r="4" spans="1:12" ht="25.5" customHeight="1" x14ac:dyDescent="0.3">
      <c r="A4" s="25" t="s">
        <v>2392</v>
      </c>
      <c r="B4" s="23" t="s">
        <v>2361</v>
      </c>
      <c r="C4" s="23" t="s">
        <v>3361</v>
      </c>
      <c r="D4" s="23">
        <f>COUNTIFS('API_Test Cases'!$C:$C,$A4,'API_Test Cases'!$D:$D,$B4,'API_Test Cases'!$F:$F,"Pozitiv")</f>
        <v>4</v>
      </c>
      <c r="E4" s="23">
        <f>COUNTIFS('API_Test Cases'!$C:$C,$A4,'API_Test Cases'!$D:$D,$B4,'API_Test Cases'!$F:$F,"Neqativ")</f>
        <v>14</v>
      </c>
      <c r="F4" s="23">
        <f>COUNTIFS('API_Test Cases'!$C:$C,$A4,'API_Test Cases'!$D:$D,$B4,'API_Test Cases'!$F:$F,"BVA")</f>
        <v>11</v>
      </c>
      <c r="G4" s="23">
        <f>COUNTIFS('API_Test Cases'!$C:$C,$A4,'API_Test Cases'!$D:$D,$B4,'API_Test Cases'!$F:$F,"State transition")</f>
        <v>0</v>
      </c>
      <c r="H4" s="23">
        <f>COUNTIFS('API_Test Cases'!$C:$C,$A4,'API_Test Cases'!$D:$D,$B4,'API_Test Cases'!$F:$F,"Schema / Contract")</f>
        <v>1</v>
      </c>
      <c r="I4" s="23">
        <f>COUNTIFS('API_Test Cases'!$C:$C,$A4,'API_Test Cases'!$D:$D,$B4,'API_Test Cases'!$F:$F,"Auth")</f>
        <v>0</v>
      </c>
      <c r="J4" s="23">
        <f t="shared" si="0"/>
        <v>30</v>
      </c>
      <c r="K4" s="23">
        <f>COUNTIFS('API_Test Cases'!$C:$C,$A4,'API_Test Cases'!$D:$D,$B4,'API_Test Cases'!$N:$N,"Automated")</f>
        <v>24</v>
      </c>
      <c r="L4" s="37">
        <f t="shared" si="1"/>
        <v>0.8</v>
      </c>
    </row>
    <row r="5" spans="1:12" ht="25.5" customHeight="1" x14ac:dyDescent="0.3">
      <c r="A5" s="25" t="s">
        <v>2392</v>
      </c>
      <c r="B5" s="23" t="s">
        <v>2383</v>
      </c>
      <c r="C5" s="23" t="s">
        <v>3362</v>
      </c>
      <c r="D5" s="23">
        <f>COUNTIFS('API_Test Cases'!$C:$C,$A5,'API_Test Cases'!$D:$D,$B5,'API_Test Cases'!$F:$F,"Pozitiv")</f>
        <v>14</v>
      </c>
      <c r="E5" s="23">
        <f>COUNTIFS('API_Test Cases'!$C:$C,$A5,'API_Test Cases'!$D:$D,$B5,'API_Test Cases'!$F:$F,"Neqativ")</f>
        <v>3</v>
      </c>
      <c r="F5" s="23">
        <f>COUNTIFS('API_Test Cases'!$C:$C,$A5,'API_Test Cases'!$D:$D,$B5,'API_Test Cases'!$F:$F,"BVA")</f>
        <v>2</v>
      </c>
      <c r="G5" s="23">
        <f>COUNTIFS('API_Test Cases'!$C:$C,$A5,'API_Test Cases'!$D:$D,$B5,'API_Test Cases'!$F:$F,"State transition")</f>
        <v>0</v>
      </c>
      <c r="H5" s="23">
        <f>COUNTIFS('API_Test Cases'!$C:$C,$A5,'API_Test Cases'!$D:$D,$B5,'API_Test Cases'!$F:$F,"Schema / Contract")</f>
        <v>1</v>
      </c>
      <c r="I5" s="23">
        <f>COUNTIFS('API_Test Cases'!$C:$C,$A5,'API_Test Cases'!$D:$D,$B5,'API_Test Cases'!$F:$F,"Auth")</f>
        <v>3</v>
      </c>
      <c r="J5" s="23">
        <f t="shared" si="0"/>
        <v>23</v>
      </c>
      <c r="K5" s="23">
        <f>COUNTIFS('API_Test Cases'!$C:$C,$A5,'API_Test Cases'!$D:$D,$B5,'API_Test Cases'!$N:$N,"Automated")</f>
        <v>12</v>
      </c>
      <c r="L5" s="37">
        <f t="shared" si="1"/>
        <v>0.52173913043478259</v>
      </c>
    </row>
    <row r="6" spans="1:12" ht="25.5" customHeight="1" x14ac:dyDescent="0.3">
      <c r="A6" s="25" t="s">
        <v>2692</v>
      </c>
      <c r="B6" s="23" t="s">
        <v>2693</v>
      </c>
      <c r="C6" s="23" t="s">
        <v>3363</v>
      </c>
      <c r="D6" s="23">
        <f>COUNTIFS('API_Test Cases'!$C:$C,$A6,'API_Test Cases'!$D:$D,$B6,'API_Test Cases'!$F:$F,"Pozitiv")</f>
        <v>3</v>
      </c>
      <c r="E6" s="23">
        <f>COUNTIFS('API_Test Cases'!$C:$C,$A6,'API_Test Cases'!$D:$D,$B6,'API_Test Cases'!$F:$F,"Neqativ")</f>
        <v>2</v>
      </c>
      <c r="F6" s="23">
        <f>COUNTIFS('API_Test Cases'!$C:$C,$A6,'API_Test Cases'!$D:$D,$B6,'API_Test Cases'!$F:$F,"BVA")</f>
        <v>1</v>
      </c>
      <c r="G6" s="23">
        <f>COUNTIFS('API_Test Cases'!$C:$C,$A6,'API_Test Cases'!$D:$D,$B6,'API_Test Cases'!$F:$F,"State transition")</f>
        <v>0</v>
      </c>
      <c r="H6" s="23">
        <f>COUNTIFS('API_Test Cases'!$C:$C,$A6,'API_Test Cases'!$D:$D,$B6,'API_Test Cases'!$F:$F,"Schema / Contract")</f>
        <v>0</v>
      </c>
      <c r="I6" s="23">
        <f>COUNTIFS('API_Test Cases'!$C:$C,$A6,'API_Test Cases'!$D:$D,$B6,'API_Test Cases'!$F:$F,"Auth")</f>
        <v>1</v>
      </c>
      <c r="J6" s="23">
        <f t="shared" si="0"/>
        <v>7</v>
      </c>
      <c r="K6" s="23">
        <f>COUNTIFS('API_Test Cases'!$C:$C,$A6,'API_Test Cases'!$D:$D,$B6,'API_Test Cases'!$N:$N,"Automated")</f>
        <v>4</v>
      </c>
      <c r="L6" s="37">
        <f t="shared" si="1"/>
        <v>0.5714285714285714</v>
      </c>
    </row>
    <row r="7" spans="1:12" ht="25.5" customHeight="1" x14ac:dyDescent="0.3">
      <c r="A7" s="25" t="s">
        <v>2430</v>
      </c>
      <c r="B7" s="23" t="s">
        <v>2361</v>
      </c>
      <c r="C7" s="23" t="s">
        <v>3364</v>
      </c>
      <c r="D7" s="23">
        <f>COUNTIFS('API_Test Cases'!$C:$C,$A7,'API_Test Cases'!$D:$D,$B7,'API_Test Cases'!$F:$F,"Pozitiv")</f>
        <v>4</v>
      </c>
      <c r="E7" s="23">
        <f>COUNTIFS('API_Test Cases'!$C:$C,$A7,'API_Test Cases'!$D:$D,$B7,'API_Test Cases'!$F:$F,"Neqativ")</f>
        <v>5</v>
      </c>
      <c r="F7" s="23">
        <f>COUNTIFS('API_Test Cases'!$C:$C,$A7,'API_Test Cases'!$D:$D,$B7,'API_Test Cases'!$F:$F,"BVA")</f>
        <v>8</v>
      </c>
      <c r="G7" s="23">
        <f>COUNTIFS('API_Test Cases'!$C:$C,$A7,'API_Test Cases'!$D:$D,$B7,'API_Test Cases'!$F:$F,"State transition")</f>
        <v>2</v>
      </c>
      <c r="H7" s="23">
        <f>COUNTIFS('API_Test Cases'!$C:$C,$A7,'API_Test Cases'!$D:$D,$B7,'API_Test Cases'!$F:$F,"Schema / Contract")</f>
        <v>1</v>
      </c>
      <c r="I7" s="23">
        <f>COUNTIFS('API_Test Cases'!$C:$C,$A7,'API_Test Cases'!$D:$D,$B7,'API_Test Cases'!$F:$F,"Auth")</f>
        <v>2</v>
      </c>
      <c r="J7" s="23">
        <f t="shared" si="0"/>
        <v>22</v>
      </c>
      <c r="K7" s="23">
        <f>COUNTIFS('API_Test Cases'!$C:$C,$A7,'API_Test Cases'!$D:$D,$B7,'API_Test Cases'!$N:$N,"Automated")</f>
        <v>18</v>
      </c>
      <c r="L7" s="37">
        <f t="shared" si="1"/>
        <v>0.81818181818181823</v>
      </c>
    </row>
    <row r="8" spans="1:12" ht="25.5" customHeight="1" x14ac:dyDescent="0.3">
      <c r="A8" s="25" t="s">
        <v>2849</v>
      </c>
      <c r="B8" s="23" t="s">
        <v>2383</v>
      </c>
      <c r="C8" s="23" t="s">
        <v>3365</v>
      </c>
      <c r="D8" s="23">
        <f>COUNTIFS('API_Test Cases'!$C:$C,$A8,'API_Test Cases'!$D:$D,$B8,'API_Test Cases'!$F:$F,"Pozitiv")</f>
        <v>2</v>
      </c>
      <c r="E8" s="23">
        <f>COUNTIFS('API_Test Cases'!$C:$C,$A8,'API_Test Cases'!$D:$D,$B8,'API_Test Cases'!$F:$F,"Neqativ")</f>
        <v>1</v>
      </c>
      <c r="F8" s="23">
        <f>COUNTIFS('API_Test Cases'!$C:$C,$A8,'API_Test Cases'!$D:$D,$B8,'API_Test Cases'!$F:$F,"BVA")</f>
        <v>0</v>
      </c>
      <c r="G8" s="23">
        <f>COUNTIFS('API_Test Cases'!$C:$C,$A8,'API_Test Cases'!$D:$D,$B8,'API_Test Cases'!$F:$F,"State transition")</f>
        <v>0</v>
      </c>
      <c r="H8" s="23">
        <f>COUNTIFS('API_Test Cases'!$C:$C,$A8,'API_Test Cases'!$D:$D,$B8,'API_Test Cases'!$F:$F,"Schema / Contract")</f>
        <v>0</v>
      </c>
      <c r="I8" s="23">
        <f>COUNTIFS('API_Test Cases'!$C:$C,$A8,'API_Test Cases'!$D:$D,$B8,'API_Test Cases'!$F:$F,"Auth")</f>
        <v>1</v>
      </c>
      <c r="J8" s="23">
        <f t="shared" si="0"/>
        <v>4</v>
      </c>
      <c r="K8" s="23">
        <f>COUNTIFS('API_Test Cases'!$C:$C,$A8,'API_Test Cases'!$D:$D,$B8,'API_Test Cases'!$N:$N,"Automated")</f>
        <v>3</v>
      </c>
      <c r="L8" s="37">
        <f t="shared" si="1"/>
        <v>0.75</v>
      </c>
    </row>
    <row r="9" spans="1:12" ht="25.5" customHeight="1" x14ac:dyDescent="0.3">
      <c r="A9" s="25" t="s">
        <v>2873</v>
      </c>
      <c r="B9" s="23" t="s">
        <v>2361</v>
      </c>
      <c r="C9" s="23" t="s">
        <v>3366</v>
      </c>
      <c r="D9" s="23">
        <f>COUNTIFS('API_Test Cases'!$C:$C,$A9,'API_Test Cases'!$D:$D,$B9,'API_Test Cases'!$F:$F,"Pozitiv")</f>
        <v>0</v>
      </c>
      <c r="E9" s="23">
        <f>COUNTIFS('API_Test Cases'!$C:$C,$A9,'API_Test Cases'!$D:$D,$B9,'API_Test Cases'!$F:$F,"Neqativ")</f>
        <v>6</v>
      </c>
      <c r="F9" s="23">
        <f>COUNTIFS('API_Test Cases'!$C:$C,$A9,'API_Test Cases'!$D:$D,$B9,'API_Test Cases'!$F:$F,"BVA")</f>
        <v>0</v>
      </c>
      <c r="G9" s="23">
        <f>COUNTIFS('API_Test Cases'!$C:$C,$A9,'API_Test Cases'!$D:$D,$B9,'API_Test Cases'!$F:$F,"State transition")</f>
        <v>11</v>
      </c>
      <c r="H9" s="23">
        <f>COUNTIFS('API_Test Cases'!$C:$C,$A9,'API_Test Cases'!$D:$D,$B9,'API_Test Cases'!$F:$F,"Schema / Contract")</f>
        <v>0</v>
      </c>
      <c r="I9" s="23">
        <f>COUNTIFS('API_Test Cases'!$C:$C,$A9,'API_Test Cases'!$D:$D,$B9,'API_Test Cases'!$F:$F,"Auth")</f>
        <v>1</v>
      </c>
      <c r="J9" s="23">
        <f t="shared" si="0"/>
        <v>18</v>
      </c>
      <c r="K9" s="23">
        <f>COUNTIFS('API_Test Cases'!$C:$C,$A9,'API_Test Cases'!$D:$D,$B9,'API_Test Cases'!$N:$N,"Automated")</f>
        <v>12</v>
      </c>
      <c r="L9" s="37">
        <f t="shared" si="1"/>
        <v>0.66666666666666663</v>
      </c>
    </row>
    <row r="10" spans="1:12" ht="25.5" customHeight="1" x14ac:dyDescent="0.3">
      <c r="A10" s="25" t="s">
        <v>2953</v>
      </c>
      <c r="B10" s="23" t="s">
        <v>2361</v>
      </c>
      <c r="C10" s="23" t="s">
        <v>3367</v>
      </c>
      <c r="D10" s="23">
        <f>COUNTIFS('API_Test Cases'!$C:$C,$A10,'API_Test Cases'!$D:$D,$B10,'API_Test Cases'!$F:$F,"Pozitiv")</f>
        <v>1</v>
      </c>
      <c r="E10" s="23">
        <f>COUNTIFS('API_Test Cases'!$C:$C,$A10,'API_Test Cases'!$D:$D,$B10,'API_Test Cases'!$F:$F,"Neqativ")</f>
        <v>1</v>
      </c>
      <c r="F10" s="23">
        <f>COUNTIFS('API_Test Cases'!$C:$C,$A10,'API_Test Cases'!$D:$D,$B10,'API_Test Cases'!$F:$F,"BVA")</f>
        <v>0</v>
      </c>
      <c r="G10" s="23">
        <f>COUNTIFS('API_Test Cases'!$C:$C,$A10,'API_Test Cases'!$D:$D,$B10,'API_Test Cases'!$F:$F,"State transition")</f>
        <v>5</v>
      </c>
      <c r="H10" s="23">
        <f>COUNTIFS('API_Test Cases'!$C:$C,$A10,'API_Test Cases'!$D:$D,$B10,'API_Test Cases'!$F:$F,"Schema / Contract")</f>
        <v>0</v>
      </c>
      <c r="I10" s="23">
        <f>COUNTIFS('API_Test Cases'!$C:$C,$A10,'API_Test Cases'!$D:$D,$B10,'API_Test Cases'!$F:$F,"Auth")</f>
        <v>0</v>
      </c>
      <c r="J10" s="23">
        <f t="shared" si="0"/>
        <v>7</v>
      </c>
      <c r="K10" s="23">
        <f>COUNTIFS('API_Test Cases'!$C:$C,$A10,'API_Test Cases'!$D:$D,$B10,'API_Test Cases'!$N:$N,"Automated")</f>
        <v>5</v>
      </c>
      <c r="L10" s="37">
        <f t="shared" si="1"/>
        <v>0.7142857142857143</v>
      </c>
    </row>
    <row r="11" spans="1:12" ht="25.5" customHeight="1" x14ac:dyDescent="0.3">
      <c r="A11" s="25" t="s">
        <v>2419</v>
      </c>
      <c r="B11" s="23" t="s">
        <v>2383</v>
      </c>
      <c r="C11" s="23" t="s">
        <v>3368</v>
      </c>
      <c r="D11" s="23">
        <f>COUNTIFS('API_Test Cases'!$C:$C,$A11,'API_Test Cases'!$D:$D,$B11,'API_Test Cases'!$F:$F,"Pozitiv")</f>
        <v>6</v>
      </c>
      <c r="E11" s="23">
        <f>COUNTIFS('API_Test Cases'!$C:$C,$A11,'API_Test Cases'!$D:$D,$B11,'API_Test Cases'!$F:$F,"Neqativ")</f>
        <v>3</v>
      </c>
      <c r="F11" s="23">
        <f>COUNTIFS('API_Test Cases'!$C:$C,$A11,'API_Test Cases'!$D:$D,$B11,'API_Test Cases'!$F:$F,"BVA")</f>
        <v>0</v>
      </c>
      <c r="G11" s="23">
        <f>COUNTIFS('API_Test Cases'!$C:$C,$A11,'API_Test Cases'!$D:$D,$B11,'API_Test Cases'!$F:$F,"State transition")</f>
        <v>0</v>
      </c>
      <c r="H11" s="23">
        <f>COUNTIFS('API_Test Cases'!$C:$C,$A11,'API_Test Cases'!$D:$D,$B11,'API_Test Cases'!$F:$F,"Schema / Contract")</f>
        <v>1</v>
      </c>
      <c r="I11" s="23">
        <f>COUNTIFS('API_Test Cases'!$C:$C,$A11,'API_Test Cases'!$D:$D,$B11,'API_Test Cases'!$F:$F,"Auth")</f>
        <v>0</v>
      </c>
      <c r="J11" s="23">
        <f t="shared" si="0"/>
        <v>10</v>
      </c>
      <c r="K11" s="23">
        <f>COUNTIFS('API_Test Cases'!$C:$C,$A11,'API_Test Cases'!$D:$D,$B11,'API_Test Cases'!$N:$N,"Automated")</f>
        <v>6</v>
      </c>
      <c r="L11" s="37">
        <f t="shared" si="1"/>
        <v>0.6</v>
      </c>
    </row>
    <row r="12" spans="1:12" ht="25.5" customHeight="1" x14ac:dyDescent="0.3">
      <c r="A12" s="25" t="s">
        <v>3028</v>
      </c>
      <c r="B12" s="23" t="s">
        <v>2361</v>
      </c>
      <c r="C12" s="23" t="s">
        <v>3369</v>
      </c>
      <c r="D12" s="23">
        <f>COUNTIFS('API_Test Cases'!$C:$C,$A12,'API_Test Cases'!$D:$D,$B12,'API_Test Cases'!$F:$F,"Pozitiv")</f>
        <v>9</v>
      </c>
      <c r="E12" s="23">
        <f>COUNTIFS('API_Test Cases'!$C:$C,$A12,'API_Test Cases'!$D:$D,$B12,'API_Test Cases'!$F:$F,"Neqativ")</f>
        <v>10</v>
      </c>
      <c r="F12" s="23">
        <f>COUNTIFS('API_Test Cases'!$C:$C,$A12,'API_Test Cases'!$D:$D,$B12,'API_Test Cases'!$F:$F,"BVA")</f>
        <v>9</v>
      </c>
      <c r="G12" s="23">
        <f>COUNTIFS('API_Test Cases'!$C:$C,$A12,'API_Test Cases'!$D:$D,$B12,'API_Test Cases'!$F:$F,"State transition")</f>
        <v>0</v>
      </c>
      <c r="H12" s="23">
        <f>COUNTIFS('API_Test Cases'!$C:$C,$A12,'API_Test Cases'!$D:$D,$B12,'API_Test Cases'!$F:$F,"Schema / Contract")</f>
        <v>1</v>
      </c>
      <c r="I12" s="23">
        <f>COUNTIFS('API_Test Cases'!$C:$C,$A12,'API_Test Cases'!$D:$D,$B12,'API_Test Cases'!$F:$F,"Auth")</f>
        <v>1</v>
      </c>
      <c r="J12" s="23">
        <f t="shared" si="0"/>
        <v>30</v>
      </c>
      <c r="K12" s="23">
        <f>COUNTIFS('API_Test Cases'!$C:$C,$A12,'API_Test Cases'!$D:$D,$B12,'API_Test Cases'!$N:$N,"Automated")</f>
        <v>25</v>
      </c>
      <c r="L12" s="37">
        <f t="shared" si="1"/>
        <v>0.83333333333333337</v>
      </c>
    </row>
    <row r="13" spans="1:12" ht="25.5" customHeight="1" x14ac:dyDescent="0.3">
      <c r="A13" s="25" t="s">
        <v>3028</v>
      </c>
      <c r="B13" s="23" t="s">
        <v>2383</v>
      </c>
      <c r="C13" s="23" t="s">
        <v>3370</v>
      </c>
      <c r="D13" s="23">
        <f>COUNTIFS('API_Test Cases'!$C:$C,$A13,'API_Test Cases'!$D:$D,$B13,'API_Test Cases'!$F:$F,"Pozitiv")</f>
        <v>6</v>
      </c>
      <c r="E13" s="23">
        <f>COUNTIFS('API_Test Cases'!$C:$C,$A13,'API_Test Cases'!$D:$D,$B13,'API_Test Cases'!$F:$F,"Neqativ")</f>
        <v>4</v>
      </c>
      <c r="F13" s="23">
        <f>COUNTIFS('API_Test Cases'!$C:$C,$A13,'API_Test Cases'!$D:$D,$B13,'API_Test Cases'!$F:$F,"BVA")</f>
        <v>3</v>
      </c>
      <c r="G13" s="23">
        <f>COUNTIFS('API_Test Cases'!$C:$C,$A13,'API_Test Cases'!$D:$D,$B13,'API_Test Cases'!$F:$F,"State transition")</f>
        <v>0</v>
      </c>
      <c r="H13" s="23">
        <f>COUNTIFS('API_Test Cases'!$C:$C,$A13,'API_Test Cases'!$D:$D,$B13,'API_Test Cases'!$F:$F,"Schema / Contract")</f>
        <v>1</v>
      </c>
      <c r="I13" s="23">
        <f>COUNTIFS('API_Test Cases'!$C:$C,$A13,'API_Test Cases'!$D:$D,$B13,'API_Test Cases'!$F:$F,"Auth")</f>
        <v>0</v>
      </c>
      <c r="J13" s="23">
        <f t="shared" si="0"/>
        <v>14</v>
      </c>
      <c r="K13" s="23">
        <f>COUNTIFS('API_Test Cases'!$C:$C,$A13,'API_Test Cases'!$D:$D,$B13,'API_Test Cases'!$N:$N,"Automated")</f>
        <v>11</v>
      </c>
      <c r="L13" s="37">
        <f t="shared" si="1"/>
        <v>0.7857142857142857</v>
      </c>
    </row>
    <row r="14" spans="1:12" ht="25.5" customHeight="1" x14ac:dyDescent="0.3">
      <c r="A14" s="25" t="s">
        <v>2348</v>
      </c>
      <c r="B14" s="25"/>
      <c r="C14" s="25"/>
      <c r="D14" s="25">
        <f t="shared" ref="D14:K14" si="2">SUM(D2:D13)</f>
        <v>50</v>
      </c>
      <c r="E14" s="25">
        <f t="shared" si="2"/>
        <v>49</v>
      </c>
      <c r="F14" s="25">
        <f t="shared" si="2"/>
        <v>34</v>
      </c>
      <c r="G14" s="25">
        <f t="shared" si="2"/>
        <v>18</v>
      </c>
      <c r="H14" s="25">
        <f t="shared" si="2"/>
        <v>6</v>
      </c>
      <c r="I14" s="25">
        <f t="shared" si="2"/>
        <v>11</v>
      </c>
      <c r="J14" s="25">
        <f t="shared" si="2"/>
        <v>168</v>
      </c>
      <c r="K14" s="25">
        <f t="shared" si="2"/>
        <v>123</v>
      </c>
      <c r="L14" s="38">
        <f t="shared" si="1"/>
        <v>0.7321428571428571</v>
      </c>
    </row>
    <row r="15" spans="1:12" ht="25.5" customHeight="1" x14ac:dyDescent="0.3"/>
    <row r="16" spans="1:12" ht="120" customHeight="1" x14ac:dyDescent="0.3">
      <c r="A16" s="23" t="s">
        <v>3371</v>
      </c>
    </row>
  </sheetData>
  <autoFilter ref="A1:J1" xr:uid="{00000000-0009-0000-0000-00000E000000}"/>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71"/>
  <sheetViews>
    <sheetView zoomScale="90" zoomScaleNormal="90" workbookViewId="0">
      <pane ySplit="1" topLeftCell="A90" activePane="bottomLeft" state="frozen"/>
      <selection pane="bottomLeft"/>
    </sheetView>
  </sheetViews>
  <sheetFormatPr defaultColWidth="8.6640625" defaultRowHeight="14.4" x14ac:dyDescent="0.3"/>
  <cols>
    <col min="1" max="1" width="26" customWidth="1"/>
    <col min="2" max="2" width="60" customWidth="1"/>
    <col min="3" max="4" width="12" customWidth="1"/>
    <col min="5" max="5" width="11" customWidth="1"/>
    <col min="6" max="6" width="16" customWidth="1"/>
    <col min="7" max="7" width="40" customWidth="1"/>
  </cols>
  <sheetData>
    <row r="1" spans="1:7" ht="37.5" customHeight="1" x14ac:dyDescent="0.3">
      <c r="A1" s="24" t="s">
        <v>3372</v>
      </c>
      <c r="B1" s="24" t="s">
        <v>3373</v>
      </c>
      <c r="C1" s="24" t="s">
        <v>136</v>
      </c>
      <c r="D1" s="24" t="s">
        <v>1869</v>
      </c>
      <c r="E1" s="24" t="s">
        <v>3374</v>
      </c>
      <c r="F1" s="24" t="s">
        <v>42</v>
      </c>
      <c r="G1" s="24" t="s">
        <v>3375</v>
      </c>
    </row>
    <row r="2" spans="1:7" ht="51.75" customHeight="1" x14ac:dyDescent="0.3">
      <c r="A2" s="25" t="s">
        <v>2444</v>
      </c>
      <c r="B2" s="23" t="s">
        <v>3376</v>
      </c>
      <c r="C2" s="23" t="s">
        <v>2318</v>
      </c>
      <c r="D2" s="23" t="s">
        <v>3377</v>
      </c>
      <c r="E2" s="23">
        <v>2</v>
      </c>
      <c r="F2" s="23" t="s">
        <v>3378</v>
      </c>
      <c r="G2" s="23" t="s">
        <v>3379</v>
      </c>
    </row>
    <row r="3" spans="1:7" ht="51.75" customHeight="1" x14ac:dyDescent="0.3">
      <c r="A3" s="25" t="s">
        <v>2458</v>
      </c>
      <c r="B3" s="23" t="s">
        <v>3380</v>
      </c>
      <c r="C3" s="23" t="s">
        <v>2318</v>
      </c>
      <c r="D3" s="23" t="s">
        <v>3381</v>
      </c>
      <c r="E3" s="23">
        <v>2</v>
      </c>
      <c r="F3" s="23" t="s">
        <v>3378</v>
      </c>
      <c r="G3" s="23" t="s">
        <v>3379</v>
      </c>
    </row>
    <row r="4" spans="1:7" ht="37.5" customHeight="1" x14ac:dyDescent="0.3">
      <c r="A4" s="25" t="s">
        <v>2464</v>
      </c>
      <c r="B4" s="23" t="s">
        <v>3382</v>
      </c>
      <c r="C4" s="23" t="s">
        <v>2318</v>
      </c>
      <c r="D4" s="23" t="s">
        <v>2460</v>
      </c>
      <c r="E4" s="23">
        <v>1</v>
      </c>
      <c r="F4" s="23" t="s">
        <v>3378</v>
      </c>
      <c r="G4" s="23" t="s">
        <v>3379</v>
      </c>
    </row>
    <row r="5" spans="1:7" ht="37.5" customHeight="1" x14ac:dyDescent="0.3">
      <c r="A5" s="25" t="s">
        <v>2471</v>
      </c>
      <c r="B5" s="23" t="s">
        <v>3383</v>
      </c>
      <c r="C5" s="23" t="s">
        <v>2318</v>
      </c>
      <c r="D5" s="23" t="s">
        <v>2465</v>
      </c>
      <c r="E5" s="23">
        <v>1</v>
      </c>
      <c r="F5" s="23" t="s">
        <v>3378</v>
      </c>
      <c r="G5" s="23" t="s">
        <v>3379</v>
      </c>
    </row>
    <row r="6" spans="1:7" ht="120" customHeight="1" x14ac:dyDescent="0.3">
      <c r="A6" s="25" t="s">
        <v>2478</v>
      </c>
      <c r="B6" s="23" t="s">
        <v>3384</v>
      </c>
      <c r="C6" s="23" t="s">
        <v>2318</v>
      </c>
      <c r="D6" s="23" t="s">
        <v>3385</v>
      </c>
      <c r="E6" s="23">
        <v>4</v>
      </c>
      <c r="F6" s="23" t="s">
        <v>3378</v>
      </c>
      <c r="G6" s="23" t="s">
        <v>3379</v>
      </c>
    </row>
    <row r="7" spans="1:7" ht="51.75" customHeight="1" x14ac:dyDescent="0.3">
      <c r="A7" s="25" t="s">
        <v>2501</v>
      </c>
      <c r="B7" s="23" t="s">
        <v>3386</v>
      </c>
      <c r="C7" s="23" t="s">
        <v>2318</v>
      </c>
      <c r="D7" s="23" t="s">
        <v>3387</v>
      </c>
      <c r="E7" s="23">
        <v>2</v>
      </c>
      <c r="F7" s="23" t="s">
        <v>3378</v>
      </c>
      <c r="G7" s="23" t="s">
        <v>3379</v>
      </c>
    </row>
    <row r="8" spans="1:7" ht="51.75" customHeight="1" x14ac:dyDescent="0.3">
      <c r="A8" s="25" t="s">
        <v>2562</v>
      </c>
      <c r="B8" s="23" t="s">
        <v>3388</v>
      </c>
      <c r="C8" s="23" t="s">
        <v>2318</v>
      </c>
      <c r="D8" s="23" t="s">
        <v>3389</v>
      </c>
      <c r="E8" s="23">
        <v>1</v>
      </c>
      <c r="F8" s="23" t="s">
        <v>3378</v>
      </c>
      <c r="G8" s="23" t="s">
        <v>3379</v>
      </c>
    </row>
    <row r="9" spans="1:7" ht="37.5" customHeight="1" x14ac:dyDescent="0.3">
      <c r="A9" s="25" t="s">
        <v>2574</v>
      </c>
      <c r="B9" s="23" t="s">
        <v>3390</v>
      </c>
      <c r="C9" s="23" t="s">
        <v>2318</v>
      </c>
      <c r="D9" s="23" t="s">
        <v>2569</v>
      </c>
      <c r="E9" s="23">
        <v>1</v>
      </c>
      <c r="F9" s="23" t="s">
        <v>3378</v>
      </c>
      <c r="G9" s="23" t="s">
        <v>3379</v>
      </c>
    </row>
    <row r="10" spans="1:7" ht="37.5" customHeight="1" x14ac:dyDescent="0.3">
      <c r="A10" s="25" t="s">
        <v>2580</v>
      </c>
      <c r="B10" s="23" t="s">
        <v>3391</v>
      </c>
      <c r="C10" s="23" t="s">
        <v>2318</v>
      </c>
      <c r="D10" s="23" t="s">
        <v>2575</v>
      </c>
      <c r="E10" s="23">
        <v>1</v>
      </c>
      <c r="F10" s="23" t="s">
        <v>3378</v>
      </c>
      <c r="G10" s="23" t="s">
        <v>3379</v>
      </c>
    </row>
    <row r="11" spans="1:7" ht="78.75" customHeight="1" x14ac:dyDescent="0.3">
      <c r="A11" s="25" t="s">
        <v>2592</v>
      </c>
      <c r="B11" s="23" t="s">
        <v>3392</v>
      </c>
      <c r="C11" s="23" t="s">
        <v>2318</v>
      </c>
      <c r="D11" s="23" t="s">
        <v>3393</v>
      </c>
      <c r="E11" s="23">
        <v>2</v>
      </c>
      <c r="F11" s="23" t="s">
        <v>3378</v>
      </c>
      <c r="G11" s="23" t="s">
        <v>3379</v>
      </c>
    </row>
    <row r="12" spans="1:7" ht="51.75" customHeight="1" x14ac:dyDescent="0.3">
      <c r="A12" s="25" t="s">
        <v>2604</v>
      </c>
      <c r="B12" s="23" t="s">
        <v>3394</v>
      </c>
      <c r="C12" s="23" t="s">
        <v>2321</v>
      </c>
      <c r="D12" s="23" t="s">
        <v>3395</v>
      </c>
      <c r="E12" s="23">
        <v>2</v>
      </c>
      <c r="F12" s="23" t="s">
        <v>3378</v>
      </c>
      <c r="G12" s="23" t="s">
        <v>3396</v>
      </c>
    </row>
    <row r="13" spans="1:7" ht="51.75" customHeight="1" x14ac:dyDescent="0.3">
      <c r="A13" s="25" t="s">
        <v>2615</v>
      </c>
      <c r="B13" s="23" t="s">
        <v>3397</v>
      </c>
      <c r="C13" s="23" t="s">
        <v>2321</v>
      </c>
      <c r="D13" s="23" t="s">
        <v>3398</v>
      </c>
      <c r="E13" s="23">
        <v>1</v>
      </c>
      <c r="F13" s="23" t="s">
        <v>3378</v>
      </c>
      <c r="G13" s="23" t="s">
        <v>3396</v>
      </c>
    </row>
    <row r="14" spans="1:7" ht="51.75" customHeight="1" x14ac:dyDescent="0.3">
      <c r="A14" s="25" t="s">
        <v>2630</v>
      </c>
      <c r="B14" s="23" t="s">
        <v>3399</v>
      </c>
      <c r="C14" s="23" t="s">
        <v>2321</v>
      </c>
      <c r="D14" s="23" t="s">
        <v>3400</v>
      </c>
      <c r="E14" s="23">
        <v>1</v>
      </c>
      <c r="F14" s="23" t="s">
        <v>3378</v>
      </c>
      <c r="G14" s="23" t="s">
        <v>3396</v>
      </c>
    </row>
    <row r="15" spans="1:7" ht="78.75" customHeight="1" x14ac:dyDescent="0.3">
      <c r="A15" s="25" t="s">
        <v>2639</v>
      </c>
      <c r="B15" s="23" t="s">
        <v>3401</v>
      </c>
      <c r="C15" s="23" t="s">
        <v>2321</v>
      </c>
      <c r="D15" s="23" t="s">
        <v>3402</v>
      </c>
      <c r="E15" s="23">
        <v>2</v>
      </c>
      <c r="F15" s="23" t="s">
        <v>3378</v>
      </c>
      <c r="G15" s="23" t="s">
        <v>3396</v>
      </c>
    </row>
    <row r="16" spans="1:7" ht="37.5" customHeight="1" x14ac:dyDescent="0.3">
      <c r="A16" s="25" t="s">
        <v>2653</v>
      </c>
      <c r="B16" s="23" t="s">
        <v>3403</v>
      </c>
      <c r="C16" s="23" t="s">
        <v>2321</v>
      </c>
      <c r="D16" s="23" t="s">
        <v>2649</v>
      </c>
      <c r="E16" s="23">
        <v>1</v>
      </c>
      <c r="F16" s="23" t="s">
        <v>3378</v>
      </c>
      <c r="G16" s="23" t="s">
        <v>3404</v>
      </c>
    </row>
    <row r="17" spans="1:7" ht="51.75" customHeight="1" x14ac:dyDescent="0.3">
      <c r="A17" s="25" t="s">
        <v>2663</v>
      </c>
      <c r="B17" s="23" t="s">
        <v>3405</v>
      </c>
      <c r="C17" s="23" t="s">
        <v>2321</v>
      </c>
      <c r="D17" s="23" t="s">
        <v>3406</v>
      </c>
      <c r="E17" s="23">
        <v>1</v>
      </c>
      <c r="F17" s="23" t="s">
        <v>3378</v>
      </c>
      <c r="G17" s="23" t="s">
        <v>3396</v>
      </c>
    </row>
    <row r="18" spans="1:7" ht="51.75" customHeight="1" x14ac:dyDescent="0.3">
      <c r="A18" s="25" t="s">
        <v>2668</v>
      </c>
      <c r="B18" s="23" t="s">
        <v>3407</v>
      </c>
      <c r="C18" s="23" t="s">
        <v>2321</v>
      </c>
      <c r="D18" s="23" t="s">
        <v>3408</v>
      </c>
      <c r="E18" s="23">
        <v>1</v>
      </c>
      <c r="F18" s="23" t="s">
        <v>3378</v>
      </c>
      <c r="G18" s="23" t="s">
        <v>3404</v>
      </c>
    </row>
    <row r="19" spans="1:7" ht="37.5" customHeight="1" x14ac:dyDescent="0.3">
      <c r="A19" s="25" t="s">
        <v>2698</v>
      </c>
      <c r="B19" s="23" t="s">
        <v>3409</v>
      </c>
      <c r="C19" s="23" t="s">
        <v>2324</v>
      </c>
      <c r="D19" s="23" t="s">
        <v>2690</v>
      </c>
      <c r="E19" s="23">
        <v>1</v>
      </c>
      <c r="F19" s="23" t="s">
        <v>3378</v>
      </c>
      <c r="G19" s="23" t="s">
        <v>3410</v>
      </c>
    </row>
    <row r="20" spans="1:7" ht="37.5" customHeight="1" x14ac:dyDescent="0.3">
      <c r="A20" s="25" t="s">
        <v>2707</v>
      </c>
      <c r="B20" s="23" t="s">
        <v>3411</v>
      </c>
      <c r="C20" s="23" t="s">
        <v>2324</v>
      </c>
      <c r="D20" s="23" t="s">
        <v>2701</v>
      </c>
      <c r="E20" s="23">
        <v>1</v>
      </c>
      <c r="F20" s="23" t="s">
        <v>3378</v>
      </c>
      <c r="G20" s="23" t="s">
        <v>3410</v>
      </c>
    </row>
    <row r="21" spans="1:7" ht="37.5" customHeight="1" x14ac:dyDescent="0.3">
      <c r="A21" s="25" t="s">
        <v>2714</v>
      </c>
      <c r="B21" s="23" t="s">
        <v>3412</v>
      </c>
      <c r="C21" s="23" t="s">
        <v>2324</v>
      </c>
      <c r="D21" s="23" t="s">
        <v>2709</v>
      </c>
      <c r="E21" s="23">
        <v>1</v>
      </c>
      <c r="F21" s="23" t="s">
        <v>3378</v>
      </c>
      <c r="G21" s="23" t="s">
        <v>3410</v>
      </c>
    </row>
    <row r="22" spans="1:7" ht="37.5" customHeight="1" x14ac:dyDescent="0.3">
      <c r="A22" s="25" t="s">
        <v>3413</v>
      </c>
      <c r="B22" s="23" t="s">
        <v>3414</v>
      </c>
      <c r="C22" s="23" t="s">
        <v>2324</v>
      </c>
      <c r="D22" s="23" t="s">
        <v>2716</v>
      </c>
      <c r="E22" s="23">
        <v>1</v>
      </c>
      <c r="F22" s="23" t="s">
        <v>3378</v>
      </c>
      <c r="G22" s="23" t="s">
        <v>3410</v>
      </c>
    </row>
    <row r="23" spans="1:7" ht="51.75" customHeight="1" x14ac:dyDescent="0.3">
      <c r="A23" s="25" t="s">
        <v>2747</v>
      </c>
      <c r="B23" s="23" t="s">
        <v>3415</v>
      </c>
      <c r="C23" s="23" t="s">
        <v>2327</v>
      </c>
      <c r="D23" s="23" t="s">
        <v>3416</v>
      </c>
      <c r="E23" s="23">
        <v>2</v>
      </c>
      <c r="F23" s="23" t="s">
        <v>3378</v>
      </c>
      <c r="G23" s="23" t="s">
        <v>3417</v>
      </c>
    </row>
    <row r="24" spans="1:7" ht="51.75" customHeight="1" x14ac:dyDescent="0.3">
      <c r="A24" s="25" t="s">
        <v>2753</v>
      </c>
      <c r="B24" s="23" t="s">
        <v>3418</v>
      </c>
      <c r="C24" s="23" t="s">
        <v>2327</v>
      </c>
      <c r="D24" s="23" t="s">
        <v>3419</v>
      </c>
      <c r="E24" s="23">
        <v>2</v>
      </c>
      <c r="F24" s="23" t="s">
        <v>3378</v>
      </c>
      <c r="G24" s="23" t="s">
        <v>3417</v>
      </c>
    </row>
    <row r="25" spans="1:7" ht="93" customHeight="1" x14ac:dyDescent="0.3">
      <c r="A25" s="25" t="s">
        <v>2768</v>
      </c>
      <c r="B25" s="23" t="s">
        <v>3420</v>
      </c>
      <c r="C25" s="23" t="s">
        <v>2327</v>
      </c>
      <c r="D25" s="23" t="s">
        <v>3421</v>
      </c>
      <c r="E25" s="23">
        <v>4</v>
      </c>
      <c r="F25" s="23" t="s">
        <v>3378</v>
      </c>
      <c r="G25" s="23" t="s">
        <v>3417</v>
      </c>
    </row>
    <row r="26" spans="1:7" ht="51.75" customHeight="1" x14ac:dyDescent="0.3">
      <c r="A26" s="25" t="s">
        <v>2783</v>
      </c>
      <c r="B26" s="23" t="s">
        <v>3422</v>
      </c>
      <c r="C26" s="23" t="s">
        <v>2327</v>
      </c>
      <c r="D26" s="23" t="s">
        <v>3423</v>
      </c>
      <c r="E26" s="23">
        <v>2</v>
      </c>
      <c r="F26" s="23" t="s">
        <v>3378</v>
      </c>
      <c r="G26" s="23" t="s">
        <v>3417</v>
      </c>
    </row>
    <row r="27" spans="1:7" ht="37.5" customHeight="1" x14ac:dyDescent="0.3">
      <c r="A27" s="25" t="s">
        <v>2808</v>
      </c>
      <c r="B27" s="23" t="s">
        <v>3424</v>
      </c>
      <c r="C27" s="23" t="s">
        <v>2327</v>
      </c>
      <c r="D27" s="23" t="s">
        <v>2802</v>
      </c>
      <c r="E27" s="23">
        <v>1</v>
      </c>
      <c r="F27" s="23" t="s">
        <v>3378</v>
      </c>
      <c r="G27" s="23" t="s">
        <v>3417</v>
      </c>
    </row>
    <row r="28" spans="1:7" ht="51.75" customHeight="1" x14ac:dyDescent="0.3">
      <c r="A28" s="25" t="s">
        <v>2820</v>
      </c>
      <c r="B28" s="23" t="s">
        <v>3425</v>
      </c>
      <c r="C28" s="23" t="s">
        <v>2327</v>
      </c>
      <c r="D28" s="23" t="s">
        <v>3426</v>
      </c>
      <c r="E28" s="23">
        <v>2</v>
      </c>
      <c r="F28" s="23" t="s">
        <v>3378</v>
      </c>
      <c r="G28" s="23" t="s">
        <v>3417</v>
      </c>
    </row>
    <row r="29" spans="1:7" ht="51.75" customHeight="1" x14ac:dyDescent="0.3">
      <c r="A29" s="25" t="s">
        <v>2830</v>
      </c>
      <c r="B29" s="23" t="s">
        <v>3427</v>
      </c>
      <c r="C29" s="23" t="s">
        <v>2327</v>
      </c>
      <c r="D29" s="23" t="s">
        <v>3428</v>
      </c>
      <c r="E29" s="23">
        <v>2</v>
      </c>
      <c r="F29" s="23" t="s">
        <v>3378</v>
      </c>
      <c r="G29" s="23" t="s">
        <v>3417</v>
      </c>
    </row>
    <row r="30" spans="1:7" ht="37.5" customHeight="1" x14ac:dyDescent="0.3">
      <c r="A30" s="25" t="s">
        <v>2838</v>
      </c>
      <c r="B30" s="23" t="s">
        <v>3429</v>
      </c>
      <c r="C30" s="23" t="s">
        <v>2327</v>
      </c>
      <c r="D30" s="23" t="s">
        <v>2834</v>
      </c>
      <c r="E30" s="23">
        <v>1</v>
      </c>
      <c r="F30" s="23" t="s">
        <v>3378</v>
      </c>
      <c r="G30" s="23" t="s">
        <v>3417</v>
      </c>
    </row>
    <row r="31" spans="1:7" ht="37.5" customHeight="1" x14ac:dyDescent="0.3">
      <c r="A31" s="25" t="s">
        <v>2853</v>
      </c>
      <c r="B31" s="23" t="s">
        <v>3430</v>
      </c>
      <c r="C31" s="23" t="s">
        <v>2330</v>
      </c>
      <c r="D31" s="23" t="s">
        <v>2847</v>
      </c>
      <c r="E31" s="23">
        <v>1</v>
      </c>
      <c r="F31" s="23" t="s">
        <v>3378</v>
      </c>
      <c r="G31" s="23" t="s">
        <v>3431</v>
      </c>
    </row>
    <row r="32" spans="1:7" ht="37.5" customHeight="1" x14ac:dyDescent="0.3">
      <c r="A32" s="25" t="s">
        <v>2859</v>
      </c>
      <c r="B32" s="23" t="s">
        <v>3432</v>
      </c>
      <c r="C32" s="23" t="s">
        <v>2330</v>
      </c>
      <c r="D32" s="23" t="s">
        <v>2855</v>
      </c>
      <c r="E32" s="23">
        <v>1</v>
      </c>
      <c r="F32" s="23" t="s">
        <v>3378</v>
      </c>
      <c r="G32" s="23" t="s">
        <v>3431</v>
      </c>
    </row>
    <row r="33" spans="1:7" ht="37.5" customHeight="1" x14ac:dyDescent="0.3">
      <c r="A33" s="25" t="s">
        <v>2866</v>
      </c>
      <c r="B33" s="23" t="s">
        <v>3433</v>
      </c>
      <c r="C33" s="23" t="s">
        <v>2330</v>
      </c>
      <c r="D33" s="23" t="s">
        <v>2861</v>
      </c>
      <c r="E33" s="23">
        <v>1</v>
      </c>
      <c r="F33" s="23" t="s">
        <v>3378</v>
      </c>
      <c r="G33" s="23" t="s">
        <v>3431</v>
      </c>
    </row>
    <row r="34" spans="1:7" ht="37.5" customHeight="1" x14ac:dyDescent="0.3">
      <c r="A34" s="25" t="s">
        <v>2878</v>
      </c>
      <c r="B34" s="23" t="s">
        <v>2872</v>
      </c>
      <c r="C34" s="23" t="s">
        <v>2333</v>
      </c>
      <c r="D34" s="23" t="s">
        <v>2871</v>
      </c>
      <c r="E34" s="23">
        <v>1</v>
      </c>
      <c r="F34" s="23" t="s">
        <v>3378</v>
      </c>
      <c r="G34" s="23" t="s">
        <v>3434</v>
      </c>
    </row>
    <row r="35" spans="1:7" ht="37.5" customHeight="1" x14ac:dyDescent="0.3">
      <c r="A35" s="25" t="s">
        <v>2884</v>
      </c>
      <c r="B35" s="23" t="s">
        <v>2881</v>
      </c>
      <c r="C35" s="23" t="s">
        <v>2333</v>
      </c>
      <c r="D35" s="23" t="s">
        <v>2880</v>
      </c>
      <c r="E35" s="23">
        <v>1</v>
      </c>
      <c r="F35" s="23" t="s">
        <v>3378</v>
      </c>
      <c r="G35" s="23" t="s">
        <v>3434</v>
      </c>
    </row>
    <row r="36" spans="1:7" ht="37.5" customHeight="1" x14ac:dyDescent="0.3">
      <c r="A36" s="25" t="s">
        <v>2899</v>
      </c>
      <c r="B36" s="23" t="s">
        <v>3435</v>
      </c>
      <c r="C36" s="23" t="s">
        <v>2333</v>
      </c>
      <c r="D36" s="23" t="s">
        <v>2897</v>
      </c>
      <c r="E36" s="23">
        <v>1</v>
      </c>
      <c r="F36" s="23" t="s">
        <v>3378</v>
      </c>
      <c r="G36" s="23" t="s">
        <v>3434</v>
      </c>
    </row>
    <row r="37" spans="1:7" ht="37.5" customHeight="1" x14ac:dyDescent="0.3">
      <c r="A37" s="25" t="s">
        <v>2894</v>
      </c>
      <c r="B37" s="23" t="s">
        <v>2891</v>
      </c>
      <c r="C37" s="23" t="s">
        <v>2333</v>
      </c>
      <c r="D37" s="23" t="s">
        <v>2890</v>
      </c>
      <c r="E37" s="23">
        <v>1</v>
      </c>
      <c r="F37" s="23" t="s">
        <v>3378</v>
      </c>
      <c r="G37" s="23" t="s">
        <v>3434</v>
      </c>
    </row>
    <row r="38" spans="1:7" ht="78.75" customHeight="1" x14ac:dyDescent="0.3">
      <c r="A38" s="25" t="s">
        <v>2904</v>
      </c>
      <c r="B38" s="23" t="s">
        <v>3436</v>
      </c>
      <c r="C38" s="23" t="s">
        <v>2333</v>
      </c>
      <c r="D38" s="23" t="s">
        <v>3437</v>
      </c>
      <c r="E38" s="23">
        <v>1</v>
      </c>
      <c r="F38" s="23" t="s">
        <v>3378</v>
      </c>
      <c r="G38" s="23" t="s">
        <v>3434</v>
      </c>
    </row>
    <row r="39" spans="1:7" ht="51.75" customHeight="1" x14ac:dyDescent="0.3">
      <c r="A39" s="25" t="s">
        <v>2913</v>
      </c>
      <c r="B39" s="23" t="s">
        <v>3438</v>
      </c>
      <c r="C39" s="23" t="s">
        <v>2333</v>
      </c>
      <c r="D39" s="23" t="s">
        <v>3439</v>
      </c>
      <c r="E39" s="23">
        <v>2</v>
      </c>
      <c r="F39" s="23" t="s">
        <v>3378</v>
      </c>
      <c r="G39" s="23" t="s">
        <v>3434</v>
      </c>
    </row>
    <row r="40" spans="1:7" ht="51.75" customHeight="1" x14ac:dyDescent="0.3">
      <c r="A40" s="25" t="s">
        <v>2946</v>
      </c>
      <c r="B40" s="23" t="s">
        <v>3440</v>
      </c>
      <c r="C40" s="23" t="s">
        <v>2333</v>
      </c>
      <c r="D40" s="23" t="s">
        <v>3441</v>
      </c>
      <c r="E40" s="23">
        <v>2</v>
      </c>
      <c r="F40" s="23" t="s">
        <v>3378</v>
      </c>
      <c r="G40" s="23" t="s">
        <v>3434</v>
      </c>
    </row>
    <row r="41" spans="1:7" ht="37.5" customHeight="1" x14ac:dyDescent="0.3">
      <c r="A41" s="25" t="s">
        <v>2956</v>
      </c>
      <c r="B41" s="23" t="s">
        <v>3442</v>
      </c>
      <c r="C41" s="23" t="s">
        <v>2336</v>
      </c>
      <c r="D41" s="23" t="s">
        <v>2951</v>
      </c>
      <c r="E41" s="23">
        <v>1</v>
      </c>
      <c r="F41" s="23" t="s">
        <v>3378</v>
      </c>
      <c r="G41" s="23" t="s">
        <v>3434</v>
      </c>
    </row>
    <row r="42" spans="1:7" ht="37.5" customHeight="1" x14ac:dyDescent="0.3">
      <c r="A42" s="25" t="s">
        <v>2960</v>
      </c>
      <c r="B42" s="23" t="s">
        <v>3443</v>
      </c>
      <c r="C42" s="23" t="s">
        <v>2336</v>
      </c>
      <c r="D42" s="23" t="s">
        <v>2957</v>
      </c>
      <c r="E42" s="23">
        <v>1</v>
      </c>
      <c r="F42" s="23" t="s">
        <v>3378</v>
      </c>
      <c r="G42" s="23" t="s">
        <v>3434</v>
      </c>
    </row>
    <row r="43" spans="1:7" ht="51.75" customHeight="1" x14ac:dyDescent="0.3">
      <c r="A43" s="25" t="s">
        <v>2965</v>
      </c>
      <c r="B43" s="23" t="s">
        <v>3444</v>
      </c>
      <c r="C43" s="23" t="s">
        <v>2336</v>
      </c>
      <c r="D43" s="23" t="s">
        <v>3445</v>
      </c>
      <c r="E43" s="23">
        <v>2</v>
      </c>
      <c r="F43" s="23" t="s">
        <v>3378</v>
      </c>
      <c r="G43" s="23" t="s">
        <v>3434</v>
      </c>
    </row>
    <row r="44" spans="1:7" ht="37.5" customHeight="1" x14ac:dyDescent="0.3">
      <c r="A44" s="25" t="s">
        <v>2975</v>
      </c>
      <c r="B44" s="23" t="s">
        <v>3446</v>
      </c>
      <c r="C44" s="23" t="s">
        <v>2336</v>
      </c>
      <c r="D44" s="23" t="s">
        <v>2970</v>
      </c>
      <c r="E44" s="23">
        <v>1</v>
      </c>
      <c r="F44" s="23" t="s">
        <v>3378</v>
      </c>
      <c r="G44" s="23" t="s">
        <v>3434</v>
      </c>
    </row>
    <row r="45" spans="1:7" ht="51.75" customHeight="1" x14ac:dyDescent="0.3">
      <c r="A45" s="25" t="s">
        <v>2990</v>
      </c>
      <c r="B45" s="23" t="s">
        <v>3447</v>
      </c>
      <c r="C45" s="23" t="s">
        <v>2339</v>
      </c>
      <c r="D45" s="23" t="s">
        <v>3448</v>
      </c>
      <c r="E45" s="23">
        <v>2</v>
      </c>
      <c r="F45" s="23" t="s">
        <v>3378</v>
      </c>
      <c r="G45" s="23" t="s">
        <v>3449</v>
      </c>
    </row>
    <row r="46" spans="1:7" ht="37.5" customHeight="1" x14ac:dyDescent="0.3">
      <c r="A46" s="25" t="s">
        <v>3004</v>
      </c>
      <c r="B46" s="23" t="s">
        <v>3450</v>
      </c>
      <c r="C46" s="23" t="s">
        <v>2339</v>
      </c>
      <c r="D46" s="23" t="s">
        <v>3000</v>
      </c>
      <c r="E46" s="23">
        <v>1</v>
      </c>
      <c r="F46" s="23" t="s">
        <v>3378</v>
      </c>
      <c r="G46" s="23" t="s">
        <v>3449</v>
      </c>
    </row>
    <row r="47" spans="1:7" ht="37.5" customHeight="1" x14ac:dyDescent="0.3">
      <c r="A47" s="25" t="s">
        <v>3018</v>
      </c>
      <c r="B47" s="23" t="s">
        <v>3451</v>
      </c>
      <c r="C47" s="23" t="s">
        <v>2339</v>
      </c>
      <c r="D47" s="23" t="s">
        <v>3014</v>
      </c>
      <c r="E47" s="23">
        <v>1</v>
      </c>
      <c r="F47" s="23" t="s">
        <v>3378</v>
      </c>
      <c r="G47" s="23" t="s">
        <v>3449</v>
      </c>
    </row>
    <row r="48" spans="1:7" ht="51.75" customHeight="1" x14ac:dyDescent="0.3">
      <c r="A48" s="25" t="s">
        <v>3032</v>
      </c>
      <c r="B48" s="23" t="s">
        <v>3452</v>
      </c>
      <c r="C48" s="23" t="s">
        <v>2342</v>
      </c>
      <c r="D48" s="23" t="s">
        <v>3453</v>
      </c>
      <c r="E48" s="23">
        <v>2</v>
      </c>
      <c r="F48" s="23" t="s">
        <v>3378</v>
      </c>
      <c r="G48" s="23" t="s">
        <v>3454</v>
      </c>
    </row>
    <row r="49" spans="1:7" ht="37.5" customHeight="1" x14ac:dyDescent="0.3">
      <c r="A49" s="25" t="s">
        <v>3044</v>
      </c>
      <c r="B49" s="23" t="s">
        <v>3455</v>
      </c>
      <c r="C49" s="23" t="s">
        <v>2342</v>
      </c>
      <c r="D49" s="23" t="s">
        <v>3039</v>
      </c>
      <c r="E49" s="23">
        <v>1</v>
      </c>
      <c r="F49" s="23" t="s">
        <v>3378</v>
      </c>
      <c r="G49" s="23" t="s">
        <v>3454</v>
      </c>
    </row>
    <row r="50" spans="1:7" ht="37.5" customHeight="1" x14ac:dyDescent="0.3">
      <c r="A50" s="25" t="s">
        <v>3053</v>
      </c>
      <c r="B50" s="23" t="s">
        <v>3456</v>
      </c>
      <c r="C50" s="23" t="s">
        <v>2342</v>
      </c>
      <c r="D50" s="23" t="s">
        <v>3046</v>
      </c>
      <c r="E50" s="23">
        <v>1</v>
      </c>
      <c r="F50" s="23" t="s">
        <v>3378</v>
      </c>
      <c r="G50" s="23" t="s">
        <v>3454</v>
      </c>
    </row>
    <row r="51" spans="1:7" ht="37.5" customHeight="1" x14ac:dyDescent="0.3">
      <c r="A51" s="25" t="s">
        <v>3062</v>
      </c>
      <c r="B51" s="23" t="s">
        <v>3457</v>
      </c>
      <c r="C51" s="23" t="s">
        <v>2342</v>
      </c>
      <c r="D51" s="23" t="s">
        <v>3055</v>
      </c>
      <c r="E51" s="23">
        <v>1</v>
      </c>
      <c r="F51" s="23" t="s">
        <v>3378</v>
      </c>
      <c r="G51" s="23" t="s">
        <v>3454</v>
      </c>
    </row>
    <row r="52" spans="1:7" ht="37.5" customHeight="1" x14ac:dyDescent="0.3">
      <c r="A52" s="25" t="s">
        <v>3069</v>
      </c>
      <c r="B52" s="23" t="s">
        <v>3458</v>
      </c>
      <c r="C52" s="23" t="s">
        <v>2342</v>
      </c>
      <c r="D52" s="23" t="s">
        <v>3064</v>
      </c>
      <c r="E52" s="23">
        <v>1</v>
      </c>
      <c r="F52" s="23" t="s">
        <v>3378</v>
      </c>
      <c r="G52" s="23" t="s">
        <v>3454</v>
      </c>
    </row>
    <row r="53" spans="1:7" ht="37.5" customHeight="1" x14ac:dyDescent="0.3">
      <c r="A53" s="25" t="s">
        <v>3075</v>
      </c>
      <c r="B53" s="23" t="s">
        <v>3459</v>
      </c>
      <c r="C53" s="23" t="s">
        <v>2342</v>
      </c>
      <c r="D53" s="23" t="s">
        <v>3071</v>
      </c>
      <c r="E53" s="23">
        <v>1</v>
      </c>
      <c r="F53" s="23" t="s">
        <v>3378</v>
      </c>
      <c r="G53" s="23" t="s">
        <v>3454</v>
      </c>
    </row>
    <row r="54" spans="1:7" ht="37.5" customHeight="1" x14ac:dyDescent="0.3">
      <c r="A54" s="25" t="s">
        <v>3094</v>
      </c>
      <c r="B54" s="23" t="s">
        <v>3460</v>
      </c>
      <c r="C54" s="23" t="s">
        <v>2342</v>
      </c>
      <c r="D54" s="23" t="s">
        <v>3090</v>
      </c>
      <c r="E54" s="23">
        <v>1</v>
      </c>
      <c r="F54" s="23" t="s">
        <v>3378</v>
      </c>
      <c r="G54" s="23" t="s">
        <v>3454</v>
      </c>
    </row>
    <row r="55" spans="1:7" ht="37.5" customHeight="1" x14ac:dyDescent="0.3">
      <c r="A55" s="25" t="s">
        <v>3111</v>
      </c>
      <c r="B55" s="23" t="s">
        <v>3461</v>
      </c>
      <c r="C55" s="23" t="s">
        <v>2342</v>
      </c>
      <c r="D55" s="23" t="s">
        <v>3106</v>
      </c>
      <c r="E55" s="23">
        <v>1</v>
      </c>
      <c r="F55" s="23" t="s">
        <v>3378</v>
      </c>
      <c r="G55" s="23" t="s">
        <v>3454</v>
      </c>
    </row>
    <row r="56" spans="1:7" ht="37.5" customHeight="1" x14ac:dyDescent="0.3">
      <c r="A56" s="25" t="s">
        <v>3119</v>
      </c>
      <c r="B56" s="23" t="s">
        <v>3462</v>
      </c>
      <c r="C56" s="23" t="s">
        <v>2342</v>
      </c>
      <c r="D56" s="23" t="s">
        <v>3113</v>
      </c>
      <c r="E56" s="23">
        <v>1</v>
      </c>
      <c r="F56" s="23" t="s">
        <v>3378</v>
      </c>
      <c r="G56" s="23" t="s">
        <v>3454</v>
      </c>
    </row>
    <row r="57" spans="1:7" ht="37.5" customHeight="1" x14ac:dyDescent="0.3">
      <c r="A57" s="25" t="s">
        <v>3131</v>
      </c>
      <c r="B57" s="23" t="s">
        <v>3463</v>
      </c>
      <c r="C57" s="23" t="s">
        <v>2342</v>
      </c>
      <c r="D57" s="23" t="s">
        <v>3127</v>
      </c>
      <c r="E57" s="23">
        <v>1</v>
      </c>
      <c r="F57" s="23" t="s">
        <v>3378</v>
      </c>
      <c r="G57" s="23" t="s">
        <v>3454</v>
      </c>
    </row>
    <row r="58" spans="1:7" ht="37.5" customHeight="1" x14ac:dyDescent="0.3">
      <c r="A58" s="25" t="s">
        <v>3141</v>
      </c>
      <c r="B58" s="23" t="s">
        <v>3464</v>
      </c>
      <c r="C58" s="23" t="s">
        <v>2342</v>
      </c>
      <c r="D58" s="23" t="s">
        <v>3136</v>
      </c>
      <c r="E58" s="23">
        <v>1</v>
      </c>
      <c r="F58" s="23" t="s">
        <v>3378</v>
      </c>
      <c r="G58" s="23" t="s">
        <v>3454</v>
      </c>
    </row>
    <row r="59" spans="1:7" ht="37.5" customHeight="1" x14ac:dyDescent="0.3">
      <c r="A59" s="25" t="s">
        <v>3148</v>
      </c>
      <c r="B59" s="23" t="s">
        <v>3465</v>
      </c>
      <c r="C59" s="23" t="s">
        <v>2342</v>
      </c>
      <c r="D59" s="23" t="s">
        <v>3143</v>
      </c>
      <c r="E59" s="23">
        <v>1</v>
      </c>
      <c r="F59" s="23" t="s">
        <v>3378</v>
      </c>
      <c r="G59" s="23" t="s">
        <v>3454</v>
      </c>
    </row>
    <row r="60" spans="1:7" ht="37.5" customHeight="1" x14ac:dyDescent="0.3">
      <c r="A60" s="25" t="s">
        <v>3163</v>
      </c>
      <c r="B60" s="23" t="s">
        <v>3466</v>
      </c>
      <c r="C60" s="23" t="s">
        <v>2342</v>
      </c>
      <c r="D60" s="23" t="s">
        <v>3157</v>
      </c>
      <c r="E60" s="23">
        <v>1</v>
      </c>
      <c r="F60" s="23" t="s">
        <v>3378</v>
      </c>
      <c r="G60" s="23" t="s">
        <v>3454</v>
      </c>
    </row>
    <row r="61" spans="1:7" ht="37.5" customHeight="1" x14ac:dyDescent="0.3">
      <c r="A61" s="25" t="s">
        <v>3177</v>
      </c>
      <c r="B61" s="23" t="s">
        <v>3467</v>
      </c>
      <c r="C61" s="23" t="s">
        <v>2342</v>
      </c>
      <c r="D61" s="23" t="s">
        <v>3172</v>
      </c>
      <c r="E61" s="23">
        <v>1</v>
      </c>
      <c r="F61" s="23" t="s">
        <v>3378</v>
      </c>
      <c r="G61" s="23" t="s">
        <v>3454</v>
      </c>
    </row>
    <row r="62" spans="1:7" ht="37.5" customHeight="1" x14ac:dyDescent="0.3">
      <c r="A62" s="25" t="s">
        <v>3182</v>
      </c>
      <c r="B62" s="23" t="s">
        <v>3468</v>
      </c>
      <c r="C62" s="23" t="s">
        <v>2342</v>
      </c>
      <c r="D62" s="23" t="s">
        <v>3178</v>
      </c>
      <c r="E62" s="23">
        <v>1</v>
      </c>
      <c r="F62" s="23" t="s">
        <v>3378</v>
      </c>
      <c r="G62" s="23" t="s">
        <v>3454</v>
      </c>
    </row>
    <row r="63" spans="1:7" ht="51.75" customHeight="1" x14ac:dyDescent="0.3">
      <c r="A63" s="25" t="s">
        <v>3221</v>
      </c>
      <c r="B63" s="23" t="s">
        <v>3469</v>
      </c>
      <c r="C63" s="23" t="s">
        <v>2345</v>
      </c>
      <c r="D63" s="23" t="s">
        <v>3470</v>
      </c>
      <c r="E63" s="23">
        <v>2</v>
      </c>
      <c r="F63" s="23" t="s">
        <v>3378</v>
      </c>
      <c r="G63" s="23" t="s">
        <v>3471</v>
      </c>
    </row>
    <row r="64" spans="1:7" ht="37.5" customHeight="1" x14ac:dyDescent="0.3">
      <c r="A64" s="25" t="s">
        <v>3227</v>
      </c>
      <c r="B64" s="23" t="s">
        <v>3472</v>
      </c>
      <c r="C64" s="23" t="s">
        <v>2345</v>
      </c>
      <c r="D64" s="23" t="s">
        <v>3223</v>
      </c>
      <c r="E64" s="23">
        <v>1</v>
      </c>
      <c r="F64" s="23" t="s">
        <v>3378</v>
      </c>
      <c r="G64" s="23" t="s">
        <v>3471</v>
      </c>
    </row>
    <row r="65" spans="1:7" ht="51.75" customHeight="1" x14ac:dyDescent="0.3">
      <c r="A65" s="25" t="s">
        <v>3232</v>
      </c>
      <c r="B65" s="23" t="s">
        <v>3473</v>
      </c>
      <c r="C65" s="23" t="s">
        <v>2345</v>
      </c>
      <c r="D65" s="23" t="s">
        <v>3474</v>
      </c>
      <c r="E65" s="23">
        <v>1</v>
      </c>
      <c r="F65" s="23" t="s">
        <v>3378</v>
      </c>
      <c r="G65" s="23" t="s">
        <v>3471</v>
      </c>
    </row>
    <row r="66" spans="1:7" ht="51.75" customHeight="1" x14ac:dyDescent="0.3">
      <c r="A66" s="25" t="s">
        <v>3238</v>
      </c>
      <c r="B66" s="23" t="s">
        <v>3475</v>
      </c>
      <c r="C66" s="23" t="s">
        <v>2345</v>
      </c>
      <c r="D66" s="23" t="s">
        <v>3476</v>
      </c>
      <c r="E66" s="23">
        <v>2</v>
      </c>
      <c r="F66" s="23" t="s">
        <v>3378</v>
      </c>
      <c r="G66" s="23" t="s">
        <v>3471</v>
      </c>
    </row>
    <row r="67" spans="1:7" ht="37.5" customHeight="1" x14ac:dyDescent="0.3">
      <c r="A67" s="25" t="s">
        <v>3248</v>
      </c>
      <c r="B67" s="23" t="s">
        <v>3477</v>
      </c>
      <c r="C67" s="23" t="s">
        <v>2345</v>
      </c>
      <c r="D67" s="23" t="s">
        <v>3244</v>
      </c>
      <c r="E67" s="23">
        <v>1</v>
      </c>
      <c r="F67" s="23" t="s">
        <v>3378</v>
      </c>
      <c r="G67" s="23" t="s">
        <v>3471</v>
      </c>
    </row>
    <row r="68" spans="1:7" ht="37.5" customHeight="1" x14ac:dyDescent="0.3">
      <c r="A68" s="25" t="s">
        <v>3256</v>
      </c>
      <c r="B68" s="23" t="s">
        <v>3478</v>
      </c>
      <c r="C68" s="23" t="s">
        <v>2345</v>
      </c>
      <c r="D68" s="23" t="s">
        <v>3253</v>
      </c>
      <c r="E68" s="23">
        <v>1</v>
      </c>
      <c r="F68" s="23" t="s">
        <v>3378</v>
      </c>
      <c r="G68" s="23" t="s">
        <v>3471</v>
      </c>
    </row>
    <row r="69" spans="1:7" ht="37.5" customHeight="1" x14ac:dyDescent="0.3">
      <c r="A69" s="25" t="s">
        <v>3262</v>
      </c>
      <c r="B69" s="23" t="s">
        <v>3479</v>
      </c>
      <c r="C69" s="23" t="s">
        <v>2345</v>
      </c>
      <c r="D69" s="23" t="s">
        <v>3257</v>
      </c>
      <c r="E69" s="23">
        <v>1</v>
      </c>
      <c r="F69" s="23" t="s">
        <v>3378</v>
      </c>
      <c r="G69" s="23" t="s">
        <v>3471</v>
      </c>
    </row>
    <row r="70" spans="1:7" ht="37.5" customHeight="1" x14ac:dyDescent="0.3">
      <c r="A70" s="25" t="s">
        <v>3267</v>
      </c>
      <c r="B70" s="23" t="s">
        <v>3480</v>
      </c>
      <c r="C70" s="23" t="s">
        <v>2345</v>
      </c>
      <c r="D70" s="23" t="s">
        <v>3263</v>
      </c>
      <c r="E70" s="23">
        <v>1</v>
      </c>
      <c r="F70" s="23" t="s">
        <v>3378</v>
      </c>
      <c r="G70" s="23" t="s">
        <v>3471</v>
      </c>
    </row>
    <row r="71" spans="1:7" ht="408.75" customHeight="1" x14ac:dyDescent="0.3">
      <c r="A71" s="25" t="s">
        <v>3481</v>
      </c>
      <c r="B71" s="23" t="s">
        <v>3482</v>
      </c>
      <c r="C71" s="23" t="s">
        <v>3483</v>
      </c>
      <c r="D71" s="23" t="s">
        <v>3484</v>
      </c>
      <c r="E71" s="23">
        <v>30</v>
      </c>
      <c r="F71" s="23" t="s">
        <v>3378</v>
      </c>
      <c r="G71" s="23" t="s">
        <v>3485</v>
      </c>
    </row>
  </sheetData>
  <autoFilter ref="A1:E1" xr:uid="{00000000-0009-0000-0000-00000F000000}"/>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5"/>
  <sheetViews>
    <sheetView tabSelected="1" zoomScale="90" zoomScaleNormal="90" workbookViewId="0">
      <pane ySplit="1" topLeftCell="A2" activePane="bottomLeft" state="frozen"/>
      <selection pane="bottomLeft"/>
    </sheetView>
  </sheetViews>
  <sheetFormatPr defaultColWidth="8.6640625" defaultRowHeight="14.4" x14ac:dyDescent="0.3"/>
  <cols>
    <col min="1" max="1" width="11" customWidth="1"/>
    <col min="2" max="2" width="24" customWidth="1"/>
    <col min="3" max="3" width="60" customWidth="1"/>
    <col min="4" max="4" width="40" customWidth="1"/>
    <col min="5" max="5" width="24" customWidth="1"/>
    <col min="6" max="6" width="42" customWidth="1"/>
    <col min="7" max="7" width="11" customWidth="1"/>
  </cols>
  <sheetData>
    <row r="1" spans="1:7" ht="25.5" customHeight="1" x14ac:dyDescent="0.3">
      <c r="A1" s="24" t="s">
        <v>1948</v>
      </c>
      <c r="B1" s="24" t="s">
        <v>2349</v>
      </c>
      <c r="C1" s="24" t="s">
        <v>3486</v>
      </c>
      <c r="D1" s="24" t="s">
        <v>1951</v>
      </c>
      <c r="E1" s="24" t="s">
        <v>1952</v>
      </c>
      <c r="F1" s="24" t="s">
        <v>3487</v>
      </c>
      <c r="G1" s="24" t="s">
        <v>42</v>
      </c>
    </row>
    <row r="2" spans="1:7" ht="66" customHeight="1" x14ac:dyDescent="0.3">
      <c r="A2" s="25" t="s">
        <v>3488</v>
      </c>
      <c r="B2" s="23" t="s">
        <v>3489</v>
      </c>
      <c r="C2" s="23" t="s">
        <v>3490</v>
      </c>
      <c r="D2" s="23" t="s">
        <v>3491</v>
      </c>
      <c r="E2" s="23" t="s">
        <v>2802</v>
      </c>
      <c r="F2" s="23" t="s">
        <v>3492</v>
      </c>
      <c r="G2" s="23" t="s">
        <v>3493</v>
      </c>
    </row>
    <row r="3" spans="1:7" ht="51.75" customHeight="1" x14ac:dyDescent="0.3">
      <c r="A3" s="25" t="s">
        <v>3494</v>
      </c>
      <c r="B3" s="23" t="s">
        <v>3495</v>
      </c>
      <c r="C3" s="23" t="s">
        <v>3496</v>
      </c>
      <c r="D3" s="23" t="s">
        <v>3497</v>
      </c>
      <c r="E3" s="23" t="s">
        <v>2593</v>
      </c>
      <c r="F3" s="23" t="s">
        <v>3498</v>
      </c>
      <c r="G3" s="23" t="s">
        <v>3493</v>
      </c>
    </row>
    <row r="4" spans="1:7" ht="51.75" customHeight="1" x14ac:dyDescent="0.3">
      <c r="A4" s="25" t="s">
        <v>3499</v>
      </c>
      <c r="B4" s="23" t="s">
        <v>3495</v>
      </c>
      <c r="C4" s="23" t="s">
        <v>3500</v>
      </c>
      <c r="D4" s="23" t="s">
        <v>3501</v>
      </c>
      <c r="E4" s="23" t="s">
        <v>3502</v>
      </c>
      <c r="F4" s="23" t="s">
        <v>3503</v>
      </c>
      <c r="G4" s="23" t="s">
        <v>3493</v>
      </c>
    </row>
    <row r="5" spans="1:7" ht="51.75" customHeight="1" x14ac:dyDescent="0.3">
      <c r="A5" s="25" t="s">
        <v>3504</v>
      </c>
      <c r="B5" s="23" t="s">
        <v>3495</v>
      </c>
      <c r="C5" s="23" t="s">
        <v>3505</v>
      </c>
      <c r="D5" s="23" t="s">
        <v>3506</v>
      </c>
      <c r="E5" s="23" t="s">
        <v>2491</v>
      </c>
      <c r="F5" s="23" t="s">
        <v>3507</v>
      </c>
      <c r="G5" s="23" t="s">
        <v>3508</v>
      </c>
    </row>
    <row r="6" spans="1:7" ht="37.5" customHeight="1" x14ac:dyDescent="0.3">
      <c r="A6" s="25" t="s">
        <v>3509</v>
      </c>
      <c r="B6" s="23" t="s">
        <v>3510</v>
      </c>
      <c r="C6" s="23" t="s">
        <v>3511</v>
      </c>
      <c r="D6" s="23" t="s">
        <v>3512</v>
      </c>
      <c r="E6" s="23" t="s">
        <v>258</v>
      </c>
      <c r="F6" s="23" t="s">
        <v>3513</v>
      </c>
      <c r="G6" s="23" t="s">
        <v>3508</v>
      </c>
    </row>
    <row r="7" spans="1:7" ht="51.75" customHeight="1" x14ac:dyDescent="0.3">
      <c r="A7" s="25" t="s">
        <v>3514</v>
      </c>
      <c r="B7" s="23" t="s">
        <v>3510</v>
      </c>
      <c r="C7" s="23" t="s">
        <v>3515</v>
      </c>
      <c r="D7" s="23" t="s">
        <v>3516</v>
      </c>
      <c r="E7" s="23" t="s">
        <v>3517</v>
      </c>
      <c r="F7" s="23" t="s">
        <v>3518</v>
      </c>
      <c r="G7" s="23" t="s">
        <v>3493</v>
      </c>
    </row>
    <row r="8" spans="1:7" ht="66" customHeight="1" x14ac:dyDescent="0.3">
      <c r="A8" s="25" t="s">
        <v>3519</v>
      </c>
      <c r="B8" s="23" t="s">
        <v>3520</v>
      </c>
      <c r="C8" s="23" t="s">
        <v>3521</v>
      </c>
      <c r="D8" s="23" t="s">
        <v>3522</v>
      </c>
      <c r="E8" s="23" t="s">
        <v>3523</v>
      </c>
      <c r="F8" s="23" t="s">
        <v>3524</v>
      </c>
      <c r="G8" s="23" t="s">
        <v>3493</v>
      </c>
    </row>
    <row r="9" spans="1:7" ht="51.75" customHeight="1" x14ac:dyDescent="0.3">
      <c r="A9" s="25" t="s">
        <v>3525</v>
      </c>
      <c r="B9" s="23" t="s">
        <v>3526</v>
      </c>
      <c r="C9" s="23" t="s">
        <v>3527</v>
      </c>
      <c r="D9" s="23" t="s">
        <v>3528</v>
      </c>
      <c r="E9" s="23" t="s">
        <v>2880</v>
      </c>
      <c r="F9" s="23" t="s">
        <v>3529</v>
      </c>
      <c r="G9" s="23" t="s">
        <v>3508</v>
      </c>
    </row>
    <row r="10" spans="1:7" ht="66" customHeight="1" x14ac:dyDescent="0.3">
      <c r="A10" s="25" t="s">
        <v>3530</v>
      </c>
      <c r="B10" s="23" t="s">
        <v>3531</v>
      </c>
      <c r="C10" s="23" t="s">
        <v>3532</v>
      </c>
      <c r="D10" s="23" t="s">
        <v>3533</v>
      </c>
      <c r="E10" s="23" t="s">
        <v>3534</v>
      </c>
      <c r="F10" s="23" t="s">
        <v>3535</v>
      </c>
      <c r="G10" s="23" t="s">
        <v>3508</v>
      </c>
    </row>
    <row r="11" spans="1:7" ht="51.75" customHeight="1" x14ac:dyDescent="0.3">
      <c r="A11" s="25" t="s">
        <v>3536</v>
      </c>
      <c r="B11" s="23" t="s">
        <v>3531</v>
      </c>
      <c r="C11" s="23" t="s">
        <v>3537</v>
      </c>
      <c r="D11" s="23" t="s">
        <v>3538</v>
      </c>
      <c r="E11" s="23" t="s">
        <v>3055</v>
      </c>
      <c r="F11" s="23" t="s">
        <v>3539</v>
      </c>
      <c r="G11" s="23" t="s">
        <v>3508</v>
      </c>
    </row>
    <row r="12" spans="1:7" ht="51.75" customHeight="1" x14ac:dyDescent="0.3">
      <c r="A12" s="25" t="s">
        <v>3540</v>
      </c>
      <c r="B12" s="23" t="s">
        <v>3531</v>
      </c>
      <c r="C12" s="23" t="s">
        <v>3541</v>
      </c>
      <c r="D12" s="23" t="s">
        <v>3542</v>
      </c>
      <c r="E12" s="23" t="s">
        <v>258</v>
      </c>
      <c r="F12" s="23" t="s">
        <v>3543</v>
      </c>
      <c r="G12" s="23" t="s">
        <v>3508</v>
      </c>
    </row>
    <row r="13" spans="1:7" ht="66" customHeight="1" x14ac:dyDescent="0.3">
      <c r="A13" s="25" t="s">
        <v>3544</v>
      </c>
      <c r="B13" s="23" t="s">
        <v>3545</v>
      </c>
      <c r="C13" s="23" t="s">
        <v>3546</v>
      </c>
      <c r="D13" s="23" t="s">
        <v>3547</v>
      </c>
      <c r="E13" s="23" t="s">
        <v>2839</v>
      </c>
      <c r="F13" s="23" t="s">
        <v>3548</v>
      </c>
      <c r="G13" s="23" t="s">
        <v>3493</v>
      </c>
    </row>
    <row r="14" spans="1:7" ht="51.75" customHeight="1" x14ac:dyDescent="0.3">
      <c r="A14" s="25" t="s">
        <v>3549</v>
      </c>
      <c r="B14" s="23" t="s">
        <v>3550</v>
      </c>
      <c r="C14" s="23" t="s">
        <v>3551</v>
      </c>
      <c r="D14" s="23" t="s">
        <v>3552</v>
      </c>
      <c r="E14" s="23" t="s">
        <v>2371</v>
      </c>
      <c r="F14" s="23" t="s">
        <v>3553</v>
      </c>
      <c r="G14" s="23" t="s">
        <v>3493</v>
      </c>
    </row>
    <row r="15" spans="1:7" ht="51.75" customHeight="1" x14ac:dyDescent="0.3">
      <c r="A15" s="25" t="s">
        <v>3554</v>
      </c>
      <c r="B15" s="23" t="s">
        <v>3555</v>
      </c>
      <c r="C15" s="23" t="s">
        <v>3556</v>
      </c>
      <c r="D15" s="23" t="s">
        <v>3557</v>
      </c>
      <c r="E15" s="23" t="s">
        <v>3257</v>
      </c>
      <c r="F15" s="23" t="s">
        <v>3558</v>
      </c>
      <c r="G15" s="23" t="s">
        <v>3508</v>
      </c>
    </row>
  </sheetData>
  <autoFilter ref="A1:G1" xr:uid="{00000000-0009-0000-0000-000010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Cover</vt:lpstr>
      <vt:lpstr>Test Scope</vt:lpstr>
      <vt:lpstr>Test Scenarios</vt:lpstr>
      <vt:lpstr>Test Cases</vt:lpstr>
      <vt:lpstr>Automation Strategy</vt:lpstr>
      <vt:lpstr>RTM</vt:lpstr>
      <vt:lpstr>Summary</vt:lpstr>
      <vt:lpstr>Grooming Questions</vt:lpstr>
      <vt:lpstr>Assumptions &amp; Risks</vt:lpstr>
      <vt:lpstr>Bug Reports</vt:lpstr>
      <vt:lpstr>API_Test Plan</vt:lpstr>
      <vt:lpstr>API_Test Scenarios</vt:lpstr>
      <vt:lpstr>API_Test Cases</vt:lpstr>
      <vt:lpstr>API_Decision Table</vt:lpstr>
      <vt:lpstr>API_Coverage</vt:lpstr>
      <vt:lpstr>API_Traceability</vt:lpstr>
      <vt:lpstr>API_Grooming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Zarifa Babayeva</cp:lastModifiedBy>
  <cp:revision>0</cp:revision>
  <dcterms:created xsi:type="dcterms:W3CDTF">2026-10-02T16:45:04Z</dcterms:created>
  <dcterms:modified xsi:type="dcterms:W3CDTF">2026-10-13T18:21:05Z</dcterms:modified>
  <dc:language>en-US</dc:language>
</cp:coreProperties>
</file>